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sicologos" sheetId="1" r:id="rId5"/>
    <sheet state="visible" name="Doctores &amp; Enfermeras" sheetId="2" r:id="rId6"/>
    <sheet state="visible" name="Apendix - Data Nacional" sheetId="3" r:id="rId7"/>
    <sheet state="visible" name="Apendix - Data Internacional" sheetId="4" r:id="rId8"/>
    <sheet state="visible" name="Apendix - Backup of Primary Mar" sheetId="5" r:id="rId9"/>
  </sheets>
  <definedNames/>
  <calcPr/>
</workbook>
</file>

<file path=xl/sharedStrings.xml><?xml version="1.0" encoding="utf-8"?>
<sst xmlns="http://schemas.openxmlformats.org/spreadsheetml/2006/main" count="442" uniqueCount="97">
  <si>
    <t>Pais</t>
  </si>
  <si>
    <t>Region</t>
  </si>
  <si>
    <t>Poblacion</t>
  </si>
  <si>
    <t>Psicologos Practicantes</t>
  </si>
  <si>
    <t>Perú</t>
  </si>
  <si>
    <t xml:space="preserve">Nacional </t>
  </si>
  <si>
    <t>Año</t>
  </si>
  <si>
    <t>Argentina</t>
  </si>
  <si>
    <t>Bolivia</t>
  </si>
  <si>
    <t>Chile</t>
  </si>
  <si>
    <t xml:space="preserve">Colombia </t>
  </si>
  <si>
    <t>Costa Rica</t>
  </si>
  <si>
    <t>Cuba</t>
  </si>
  <si>
    <t>Republica Dominicana</t>
  </si>
  <si>
    <t>Ecuador</t>
  </si>
  <si>
    <t>El Salvador</t>
  </si>
  <si>
    <t>España</t>
  </si>
  <si>
    <t xml:space="preserve">Guinea Ecuatorial </t>
  </si>
  <si>
    <t>Guatemala</t>
  </si>
  <si>
    <t>Honduras</t>
  </si>
  <si>
    <t>Mexico</t>
  </si>
  <si>
    <t>Nicaragua</t>
  </si>
  <si>
    <t>Panama</t>
  </si>
  <si>
    <t>Paraguay</t>
  </si>
  <si>
    <t>Puerto Rico</t>
  </si>
  <si>
    <t>Uruguay</t>
  </si>
  <si>
    <t>Venezuela</t>
  </si>
  <si>
    <t>Estados Unidos Continental</t>
  </si>
  <si>
    <t>2 Doctores por 1000 promedio de latam</t>
  </si>
  <si>
    <t>https://www.oecd.org/es/publications/panorama-de-la-salud-latinoamerica-y-el-caribe-2020_740f9640-es/full-report/doctors-and-nurses_00eba42c.html</t>
  </si>
  <si>
    <t>3 Enfermeras por 1000 promedio de latam</t>
  </si>
  <si>
    <t>Poblacion de latam</t>
  </si>
  <si>
    <t xml:space="preserve">Estimado doctores en LATAM </t>
  </si>
  <si>
    <t xml:space="preserve">Estimado enfermeras en LATAM </t>
  </si>
  <si>
    <t xml:space="preserve">Total doctores y enfermeras </t>
  </si>
  <si>
    <t>https://codopsi.com.do/psicologos-colegiados</t>
  </si>
  <si>
    <t xml:space="preserve">vamos a tener que descargar la data para el breakdown especifico del total  </t>
  </si>
  <si>
    <t>MENCION CLINICA</t>
  </si>
  <si>
    <t>MENCION GENERAL</t>
  </si>
  <si>
    <t>MENCION EDUCATIVA</t>
  </si>
  <si>
    <t>POR ASIGNAR CARRERA</t>
  </si>
  <si>
    <t>PSICOLOGIA GENERAL</t>
  </si>
  <si>
    <t>MENCION INDUSTRIAL</t>
  </si>
  <si>
    <t>MENCION SOCIAL</t>
  </si>
  <si>
    <t>MENCION ESCOLAR</t>
  </si>
  <si>
    <t>PSICOLOGíA CLINICA</t>
  </si>
  <si>
    <t>PSICOLOGIA MENCION CLINICA</t>
  </si>
  <si>
    <t>PSICOLOGA ESCOLAR</t>
  </si>
  <si>
    <t xml:space="preserve">Total publicado </t>
  </si>
  <si>
    <t xml:space="preserve">Total activa </t>
  </si>
  <si>
    <t>https://portal.psicologiacr.com/ProfessionalDirectory#</t>
  </si>
  <si>
    <t>Licenciatura</t>
  </si>
  <si>
    <t>Maestria</t>
  </si>
  <si>
    <t xml:space="preserve">Especialidad </t>
  </si>
  <si>
    <t xml:space="preserve">Doctorado </t>
  </si>
  <si>
    <t>Bachiller</t>
  </si>
  <si>
    <t>Licenciado</t>
  </si>
  <si>
    <t xml:space="preserve">(do get this you have to hack the form so that you can insert the value Licenciado which does not appear as an option. This confirms that the remaining of the total of 10000 was this value) </t>
  </si>
  <si>
    <t>Suma</t>
  </si>
  <si>
    <t>Published total Activos</t>
  </si>
  <si>
    <t xml:space="preserve">Total No solo Activos </t>
  </si>
  <si>
    <t>Population &amp; Psychologists per 100,000</t>
  </si>
  <si>
    <t>Population table</t>
  </si>
  <si>
    <t xml:space="preserve">Psychologists by 100,000 </t>
  </si>
  <si>
    <t>Entity</t>
  </si>
  <si>
    <t>Code</t>
  </si>
  <si>
    <t>Year</t>
  </si>
  <si>
    <t>all years</t>
  </si>
  <si>
    <t>SpatialDimValueCode</t>
  </si>
  <si>
    <t>Location</t>
  </si>
  <si>
    <t>Period</t>
  </si>
  <si>
    <t>FactValueNumeric</t>
  </si>
  <si>
    <t>Value</t>
  </si>
  <si>
    <t xml:space="preserve">Total Psychologists </t>
  </si>
  <si>
    <t>ARG</t>
  </si>
  <si>
    <t>CRI</t>
  </si>
  <si>
    <t>CUB</t>
  </si>
  <si>
    <t>DOM</t>
  </si>
  <si>
    <t>Dominican Republic</t>
  </si>
  <si>
    <t>ECU</t>
  </si>
  <si>
    <t>SLV</t>
  </si>
  <si>
    <t>GNQ</t>
  </si>
  <si>
    <t>Equatorial Guinea</t>
  </si>
  <si>
    <t>GTM</t>
  </si>
  <si>
    <t>HND</t>
  </si>
  <si>
    <t>MEX</t>
  </si>
  <si>
    <t>NIC</t>
  </si>
  <si>
    <t>PAN</t>
  </si>
  <si>
    <t>PER</t>
  </si>
  <si>
    <t>Peru</t>
  </si>
  <si>
    <t>USA</t>
  </si>
  <si>
    <t>United States of America</t>
  </si>
  <si>
    <t>United States</t>
  </si>
  <si>
    <t xml:space="preserve">Psicologos (Colegiados Registrados) </t>
  </si>
  <si>
    <t>Periodo 1</t>
  </si>
  <si>
    <t>Doctores WHO</t>
  </si>
  <si>
    <t>Doctores Nacional</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</si>
</sst>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color theme="1"/>
      <name val="Arial"/>
      <scheme val="minor"/>
    </font>
    <font>
      <u/>
      <color rgb="FF0000FF"/>
    </font>
    <font>
      <sz val="11.0"/>
      <color rgb="FF000000"/>
      <name val="&quot;Aptos Narrow&quot;"/>
    </font>
    <font>
      <u/>
      <color rgb="FF0000FF"/>
    </font>
    <font>
      <u/>
      <color rgb="FF0000FF"/>
      <name val="Poppins"/>
    </font>
    <font>
      <u/>
      <sz val="12.0"/>
      <color rgb="FF0000FF"/>
      <name val="Montserrat"/>
    </font>
    <font>
      <b/>
      <sz val="11.0"/>
      <color rgb="FF767676"/>
      <name val="Arial"/>
    </font>
    <font>
      <u/>
      <color rgb="FF0000FF"/>
    </font>
    <font>
      <u/>
      <color rgb="FF0000FF"/>
    </font>
    <font>
      <b/>
      <color theme="1"/>
      <name val="Arial"/>
      <scheme val="minor"/>
    </font>
    <font>
      <color theme="1"/>
      <name val="Georgia"/>
    </font>
    <font>
      <sz val="11.0"/>
      <color rgb="FF070707"/>
      <name val="Georgia"/>
    </font>
    <font>
      <color rgb="FF74788D"/>
      <name val="Poppins"/>
    </font>
    <font>
      <color rgb="FF000000"/>
      <name val="Arial"/>
      <scheme val="minor"/>
    </font>
    <font>
      <sz val="7.0"/>
      <color theme="1"/>
      <name val="Arial"/>
      <scheme val="minor"/>
    </font>
    <font>
      <sz val="11.0"/>
      <color rgb="FF000000"/>
      <name val="Arial"/>
    </font>
    <font>
      <u/>
      <color rgb="FF0000FF"/>
    </font>
  </fonts>
  <fills count="5">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EEEEEE"/>
        <bgColor rgb="FFEEEEEE"/>
      </patternFill>
    </fill>
  </fills>
  <borders count="2">
    <border/>
    <border>
      <top style="thin">
        <color rgb="FFE9E9E9"/>
      </top>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1" numFmtId="0" xfId="0" applyAlignment="1" applyFont="1">
      <alignment readingOrder="0"/>
    </xf>
    <xf borderId="0" fillId="2" fontId="1" numFmtId="0" xfId="0" applyFont="1"/>
    <xf borderId="0" fillId="0" fontId="1" numFmtId="0" xfId="0" applyAlignment="1" applyFont="1">
      <alignment horizontal="center" readingOrder="0" vertical="center"/>
    </xf>
    <xf borderId="0" fillId="0" fontId="1" numFmtId="0" xfId="0" applyAlignment="1" applyFont="1">
      <alignment readingOrder="0" vertical="center"/>
    </xf>
    <xf borderId="0" fillId="0" fontId="1" numFmtId="3" xfId="0" applyAlignment="1" applyFont="1" applyNumberFormat="1">
      <alignment readingOrder="0"/>
    </xf>
    <xf borderId="0" fillId="0" fontId="2" numFmtId="0" xfId="0" applyAlignment="1" applyFont="1">
      <alignment readingOrder="0" vertical="center"/>
    </xf>
    <xf borderId="0" fillId="0" fontId="1" numFmtId="0" xfId="0" applyAlignment="1" applyFont="1">
      <alignment readingOrder="0" vertical="center"/>
    </xf>
    <xf borderId="0" fillId="0" fontId="1" numFmtId="1" xfId="0" applyFont="1" applyNumberFormat="1"/>
    <xf borderId="0" fillId="0" fontId="1" numFmtId="0" xfId="0" applyAlignment="1" applyFont="1">
      <alignment readingOrder="0"/>
    </xf>
    <xf borderId="0" fillId="0" fontId="3" numFmtId="3" xfId="0" applyAlignment="1" applyFont="1" applyNumberFormat="1">
      <alignment horizontal="right" readingOrder="0" shrinkToFit="0" vertical="bottom" wrapText="0"/>
    </xf>
    <xf borderId="0" fillId="0" fontId="4" numFmtId="0" xfId="0" applyAlignment="1" applyFont="1">
      <alignment readingOrder="0"/>
    </xf>
    <xf borderId="0" fillId="0" fontId="1" numFmtId="0" xfId="0" applyAlignment="1" applyFont="1">
      <alignment readingOrder="0"/>
    </xf>
    <xf borderId="0" fillId="3" fontId="5" numFmtId="0" xfId="0" applyAlignment="1" applyFill="1" applyFont="1">
      <alignment horizontal="right" readingOrder="0"/>
    </xf>
    <xf borderId="0" fillId="3" fontId="6" numFmtId="0" xfId="0" applyAlignment="1" applyFont="1">
      <alignment readingOrder="0"/>
    </xf>
    <xf borderId="0" fillId="3" fontId="7" numFmtId="0" xfId="0" applyAlignment="1" applyFont="1">
      <alignment readingOrder="0"/>
    </xf>
    <xf borderId="0" fillId="0" fontId="8" numFmtId="3" xfId="0" applyAlignment="1" applyFont="1" applyNumberFormat="1">
      <alignment readingOrder="0"/>
    </xf>
    <xf borderId="0" fillId="0" fontId="9" numFmtId="0" xfId="0" applyAlignment="1" applyFont="1">
      <alignment readingOrder="0"/>
    </xf>
    <xf borderId="0" fillId="0" fontId="1" numFmtId="3" xfId="0" applyFont="1" applyNumberFormat="1"/>
    <xf borderId="0" fillId="0" fontId="10" numFmtId="0" xfId="0" applyAlignment="1" applyFont="1">
      <alignment readingOrder="0"/>
    </xf>
    <xf borderId="1" fillId="0" fontId="11" numFmtId="0" xfId="0" applyAlignment="1" applyBorder="1" applyFont="1">
      <alignment horizontal="left" readingOrder="0" shrinkToFit="0" vertical="top" wrapText="0"/>
    </xf>
    <xf borderId="0" fillId="4" fontId="12" numFmtId="0" xfId="0" applyAlignment="1" applyFill="1" applyFont="1">
      <alignment horizontal="left" readingOrder="0" shrinkToFit="0" wrapText="0"/>
    </xf>
    <xf borderId="0" fillId="0" fontId="1" numFmtId="0" xfId="0" applyFont="1"/>
    <xf borderId="0" fillId="3" fontId="13" numFmtId="0" xfId="0" applyAlignment="1" applyFont="1">
      <alignment horizontal="left" readingOrder="0"/>
    </xf>
    <xf borderId="0" fillId="0" fontId="14" numFmtId="0" xfId="0" applyAlignment="1" applyFont="1">
      <alignment readingOrder="0"/>
    </xf>
    <xf borderId="0" fillId="0" fontId="15" numFmtId="0" xfId="0" applyAlignment="1" applyFont="1">
      <alignment readingOrder="0"/>
    </xf>
    <xf borderId="0" fillId="0" fontId="3" numFmtId="0" xfId="0" applyAlignment="1" applyFont="1">
      <alignment readingOrder="0" shrinkToFit="0" vertical="bottom" wrapText="0"/>
    </xf>
    <xf borderId="0" fillId="0" fontId="3" numFmtId="0" xfId="0" applyAlignment="1" applyFont="1">
      <alignment horizontal="right" readingOrder="0" shrinkToFit="0" vertical="bottom" wrapText="0"/>
    </xf>
    <xf borderId="0" fillId="0" fontId="16" numFmtId="0" xfId="0" applyAlignment="1" applyFont="1">
      <alignment horizontal="right" readingOrder="0" shrinkToFit="0" vertical="bottom" wrapText="0"/>
    </xf>
    <xf borderId="0" fillId="0" fontId="1" numFmtId="1" xfId="0" applyAlignment="1" applyFont="1" applyNumberFormat="1">
      <alignment readingOrder="0" vertical="center"/>
    </xf>
    <xf borderId="0" fillId="0" fontId="1" numFmtId="1" xfId="0" applyAlignment="1" applyFont="1" applyNumberFormat="1">
      <alignment readingOrder="0"/>
    </xf>
    <xf borderId="0" fillId="0" fontId="17" numFmtId="1"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cpsp.pe/" TargetMode="External"/><Relationship Id="rId2" Type="http://schemas.openxmlformats.org/officeDocument/2006/relationships/hyperlink" Target="https://www.superdesalud.gob.cl/documentacion/666/articles-26553_recurso_1.pdf" TargetMode="External"/><Relationship Id="rId3" Type="http://schemas.openxmlformats.org/officeDocument/2006/relationships/hyperlink" Target="https://www.colpsic.org.co/wp-content/uploads/2024/03/COMPETENCIAS-DEL-PSICOLOGO-EN-SALUD.pdf" TargetMode="External"/><Relationship Id="rId4" Type="http://schemas.openxmlformats.org/officeDocument/2006/relationships/hyperlink" Target="https://portal.psicologiacr.com/ProfessionalDirectory" TargetMode="External"/><Relationship Id="rId11" Type="http://schemas.openxmlformats.org/officeDocument/2006/relationships/hyperlink" Target="https://www.integrativepsychology.org/us-mental-health-workforce-stats" TargetMode="External"/><Relationship Id="rId10" Type="http://schemas.openxmlformats.org/officeDocument/2006/relationships/hyperlink" Target="https://www.gub.uy/ministerio-salud-publica/sites/ministerio-salud-publica/files/2019-02/1%C2%BA%20Censo%20Nacional%20de%20Psicolog%C3%ADa%202014_2.pdf" TargetMode="External"/><Relationship Id="rId12" Type="http://schemas.openxmlformats.org/officeDocument/2006/relationships/drawing" Target="../drawings/drawing1.xml"/><Relationship Id="rId9" Type="http://schemas.openxmlformats.org/officeDocument/2006/relationships/hyperlink" Target="https://www.elnuevodia.com/opinion/punto-de-vista/los-servicios-psicologos-y-el-proyecto-de-la-camara-77/" TargetMode="External"/><Relationship Id="rId5" Type="http://schemas.openxmlformats.org/officeDocument/2006/relationships/hyperlink" Target="https://codopsi.com.do/psicologos-colegiados" TargetMode="External"/><Relationship Id="rId6" Type="http://schemas.openxmlformats.org/officeDocument/2006/relationships/hyperlink" Target="https://www.infocop.es/aumenta-la-cifra-de-psicologos-colegiados-en-espana/" TargetMode="External"/><Relationship Id="rId7" Type="http://schemas.openxmlformats.org/officeDocument/2006/relationships/hyperlink" Target="https://www.instagram.com/reel/DTvQritjDG0/?igsh=NDJiMGNhb2Zvc2gx" TargetMode="External"/><Relationship Id="rId8" Type="http://schemas.openxmlformats.org/officeDocument/2006/relationships/hyperlink" Target="https://www.observatoriolaboral.gob.mx/static/estudios-publicaciones/Biologia.html"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oecd.org/es/publications/panorama-de-la-salud-latinoamerica-y-el-caribe-2020_740f9640-es/full-report/doctors-and-nurses_00eba42c.html"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codopsi.com.do/psicologos-colegiados" TargetMode="External"/><Relationship Id="rId2" Type="http://schemas.openxmlformats.org/officeDocument/2006/relationships/hyperlink" Target="https://portal.psicologiacr.com/ProfessionalDirectory"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hyperlink" Target="https://www.elnuevodia.com/opinion/punto-de-vista/los-servicios-psicologos-y-el-proyecto-de-la-camara-77/" TargetMode="External"/><Relationship Id="rId22" Type="http://schemas.openxmlformats.org/officeDocument/2006/relationships/hyperlink" Target="https://www.gub.uy/ministerio-salud-publica/sites/ministerio-salud-publica/files/2019-02/1%C2%BA%20Censo%20Nacional%20de%20Psicolog%C3%ADa%202014_2.pdf" TargetMode="External"/><Relationship Id="rId21" Type="http://schemas.openxmlformats.org/officeDocument/2006/relationships/hyperlink" Target="https://www.gub.uy/ministerio-salud-publica/sites/ministerio-salud-publica/files/2019-02/1%C2%BA%20Censo%20Nacional%20de%20Psicolog%C3%ADa%202014_2.pdf" TargetMode="External"/><Relationship Id="rId24" Type="http://schemas.openxmlformats.org/officeDocument/2006/relationships/hyperlink" Target="https://www.integrativepsychology.org/us-mental-health-workforce-stats" TargetMode="External"/><Relationship Id="rId23" Type="http://schemas.openxmlformats.org/officeDocument/2006/relationships/hyperlink" Target="https://www.integrativepsychology.org/us-mental-health-workforce-stats" TargetMode="External"/><Relationship Id="rId1" Type="http://schemas.openxmlformats.org/officeDocument/2006/relationships/hyperlink" Target="https://www.cpsp.pe/" TargetMode="External"/><Relationship Id="rId2" Type="http://schemas.openxmlformats.org/officeDocument/2006/relationships/hyperlink" Target="https://www.cpsp.pe/" TargetMode="External"/><Relationship Id="rId3" Type="http://schemas.openxmlformats.org/officeDocument/2006/relationships/hyperlink" Target="https://www.argentina.gob.ar/sites/default/files/informe_fdt_datos2019_vf-1.pdf" TargetMode="External"/><Relationship Id="rId4" Type="http://schemas.openxmlformats.org/officeDocument/2006/relationships/hyperlink" Target="https://www.superdesalud.gob.cl/documentacion/666/articles-26553_recurso_1.pdf" TargetMode="External"/><Relationship Id="rId9" Type="http://schemas.openxmlformats.org/officeDocument/2006/relationships/hyperlink" Target="https://portal.psicologiacr.com/ProfessionalDirectory" TargetMode="External"/><Relationship Id="rId25" Type="http://schemas.openxmlformats.org/officeDocument/2006/relationships/drawing" Target="../drawings/drawing5.xml"/><Relationship Id="rId5" Type="http://schemas.openxmlformats.org/officeDocument/2006/relationships/hyperlink" Target="https://www.superdesalud.gob.cl/documentacion/666/articles-26553_recurso_1.pdf" TargetMode="External"/><Relationship Id="rId6" Type="http://schemas.openxmlformats.org/officeDocument/2006/relationships/hyperlink" Target="https://www.superdesalud.gob.cl/documentacion/666/articles-26553_recurso_1.pdf" TargetMode="External"/><Relationship Id="rId7" Type="http://schemas.openxmlformats.org/officeDocument/2006/relationships/hyperlink" Target="https://www.colpsic.org.co/wp-content/uploads/2024/03/COMPETENCIAS-DEL-PSICOLOGO-EN-SALUD.pdf" TargetMode="External"/><Relationship Id="rId8" Type="http://schemas.openxmlformats.org/officeDocument/2006/relationships/hyperlink" Target="https://www.colpsic.org.co/wp-content/uploads/2024/03/COMPETENCIAS-DEL-PSICOLOGO-EN-SALUD.pdf" TargetMode="External"/><Relationship Id="rId11" Type="http://schemas.openxmlformats.org/officeDocument/2006/relationships/hyperlink" Target="https://codopsi.com.do/psicologos-colegiados" TargetMode="External"/><Relationship Id="rId10" Type="http://schemas.openxmlformats.org/officeDocument/2006/relationships/hyperlink" Target="https://portal.psicologiacr.com/ProfessionalDirectory" TargetMode="External"/><Relationship Id="rId13" Type="http://schemas.openxmlformats.org/officeDocument/2006/relationships/hyperlink" Target="https://www.infocop.es/aumenta-la-cifra-de-psicologos-colegiados-en-espana/" TargetMode="External"/><Relationship Id="rId12" Type="http://schemas.openxmlformats.org/officeDocument/2006/relationships/hyperlink" Target="https://codopsi.com.do/psicologos-colegiados" TargetMode="External"/><Relationship Id="rId15" Type="http://schemas.openxmlformats.org/officeDocument/2006/relationships/hyperlink" Target="https://www.instagram.com/reel/DTvQritjDG0/?igsh=NDJiMGNhb2Zvc2gx" TargetMode="External"/><Relationship Id="rId14" Type="http://schemas.openxmlformats.org/officeDocument/2006/relationships/hyperlink" Target="https://www.infocop.es/aumenta-la-cifra-de-psicologos-colegiados-en-espana/" TargetMode="External"/><Relationship Id="rId17" Type="http://schemas.openxmlformats.org/officeDocument/2006/relationships/hyperlink" Target="https://www.observatoriolaboral.gob.mx/static/estudios-publicaciones/Biologia.html" TargetMode="External"/><Relationship Id="rId16" Type="http://schemas.openxmlformats.org/officeDocument/2006/relationships/hyperlink" Target="https://www.instagram.com/reel/DTvQritjDG0/?igsh=NDJiMGNhb2Zvc2gx" TargetMode="External"/><Relationship Id="rId19" Type="http://schemas.openxmlformats.org/officeDocument/2006/relationships/hyperlink" Target="https://www.elnuevodia.com/opinion/punto-de-vista/los-servicios-psicologos-y-el-proyecto-de-la-camara-77/" TargetMode="External"/><Relationship Id="rId18" Type="http://schemas.openxmlformats.org/officeDocument/2006/relationships/hyperlink" Target="https://www.observatoriolaboral.gob.mx/static/estudios-publicaciones/Biologia.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4" max="4" width="19.13"/>
  </cols>
  <sheetData>
    <row r="1">
      <c r="A1" s="1" t="s">
        <v>0</v>
      </c>
      <c r="B1" s="2" t="s">
        <v>1</v>
      </c>
      <c r="C1" s="2" t="s">
        <v>2</v>
      </c>
      <c r="D1" s="2" t="s">
        <v>3</v>
      </c>
      <c r="E1" s="3"/>
      <c r="F1" s="3"/>
      <c r="G1" s="3"/>
      <c r="H1" s="3"/>
      <c r="I1" s="3"/>
      <c r="J1" s="3"/>
      <c r="K1" s="3"/>
      <c r="L1" s="3"/>
      <c r="M1" s="3"/>
      <c r="N1" s="3"/>
      <c r="O1" s="3"/>
      <c r="P1" s="3"/>
      <c r="Q1" s="3"/>
      <c r="R1" s="3"/>
      <c r="S1" s="3"/>
      <c r="T1" s="3"/>
      <c r="U1" s="3"/>
      <c r="V1" s="3"/>
    </row>
    <row r="2">
      <c r="A2" s="4" t="s">
        <v>4</v>
      </c>
      <c r="B2" s="5" t="s">
        <v>5</v>
      </c>
      <c r="C2" s="6">
        <v>3.3845616E7</v>
      </c>
      <c r="D2" s="7">
        <v>73332.0</v>
      </c>
    </row>
    <row r="3">
      <c r="B3" s="5" t="s">
        <v>6</v>
      </c>
      <c r="C3" s="6">
        <v>2023.0</v>
      </c>
      <c r="D3" s="8">
        <v>2025.0</v>
      </c>
    </row>
    <row r="4">
      <c r="A4" s="4" t="s">
        <v>7</v>
      </c>
      <c r="B4" s="5" t="s">
        <v>5</v>
      </c>
      <c r="C4" s="6">
        <v>4.3900312E7</v>
      </c>
      <c r="D4" s="9">
        <v>97709.80242464</v>
      </c>
    </row>
    <row r="5">
      <c r="B5" s="5" t="s">
        <v>6</v>
      </c>
      <c r="C5" s="6">
        <v>2023.0</v>
      </c>
      <c r="D5" s="10">
        <v>2016.0</v>
      </c>
    </row>
    <row r="6">
      <c r="A6" s="4" t="s">
        <v>8</v>
      </c>
      <c r="B6" s="5" t="s">
        <v>5</v>
      </c>
      <c r="C6" s="11">
        <v>1.2244161E7</v>
      </c>
    </row>
    <row r="7">
      <c r="B7" s="5" t="s">
        <v>6</v>
      </c>
      <c r="C7" s="11"/>
    </row>
    <row r="8">
      <c r="A8" s="4" t="s">
        <v>9</v>
      </c>
      <c r="B8" s="5" t="s">
        <v>5</v>
      </c>
      <c r="C8" s="6">
        <v>1.9658833E7</v>
      </c>
      <c r="D8" s="12">
        <v>79467.0</v>
      </c>
    </row>
    <row r="9">
      <c r="B9" s="5" t="s">
        <v>6</v>
      </c>
      <c r="C9" s="6">
        <v>2023.0</v>
      </c>
      <c r="D9" s="13">
        <v>2023.0</v>
      </c>
    </row>
    <row r="10">
      <c r="A10" s="4" t="s">
        <v>10</v>
      </c>
      <c r="B10" s="5" t="s">
        <v>5</v>
      </c>
      <c r="C10" s="6">
        <v>5.2321152E7</v>
      </c>
      <c r="D10" s="12">
        <v>67996.0</v>
      </c>
    </row>
    <row r="11">
      <c r="B11" s="5" t="s">
        <v>6</v>
      </c>
      <c r="C11" s="6">
        <v>2023.0</v>
      </c>
      <c r="D11" s="10">
        <v>2022.0</v>
      </c>
    </row>
    <row r="12">
      <c r="A12" s="4" t="s">
        <v>11</v>
      </c>
      <c r="B12" s="5" t="s">
        <v>5</v>
      </c>
      <c r="C12" s="6">
        <v>5105526.0</v>
      </c>
      <c r="D12" s="14">
        <v>10104.0</v>
      </c>
    </row>
    <row r="13">
      <c r="B13" s="5" t="s">
        <v>6</v>
      </c>
      <c r="C13" s="6">
        <v>2023.0</v>
      </c>
      <c r="D13" s="10">
        <v>2026.0</v>
      </c>
    </row>
    <row r="14">
      <c r="A14" s="4" t="s">
        <v>12</v>
      </c>
      <c r="B14" s="5" t="s">
        <v>5</v>
      </c>
      <c r="C14" s="6">
        <v>1.1019932E7</v>
      </c>
    </row>
    <row r="15">
      <c r="B15" s="5" t="s">
        <v>6</v>
      </c>
      <c r="C15" s="6">
        <v>2023.0</v>
      </c>
    </row>
    <row r="16">
      <c r="A16" s="4" t="s">
        <v>13</v>
      </c>
      <c r="B16" s="5" t="s">
        <v>5</v>
      </c>
      <c r="C16" s="6">
        <v>1.1331269E7</v>
      </c>
      <c r="D16" s="12">
        <v>14438.0</v>
      </c>
    </row>
    <row r="17">
      <c r="B17" s="5" t="s">
        <v>6</v>
      </c>
      <c r="C17" s="6">
        <v>2023.0</v>
      </c>
      <c r="D17" s="10">
        <v>2026.0</v>
      </c>
    </row>
    <row r="18">
      <c r="A18" s="4" t="s">
        <v>14</v>
      </c>
      <c r="B18" s="5" t="s">
        <v>5</v>
      </c>
      <c r="C18" s="6">
        <v>1.7980079E7</v>
      </c>
    </row>
    <row r="19">
      <c r="B19" s="5" t="s">
        <v>6</v>
      </c>
      <c r="C19" s="6">
        <v>2023.0</v>
      </c>
    </row>
    <row r="20">
      <c r="A20" s="4" t="s">
        <v>15</v>
      </c>
      <c r="B20" s="5" t="s">
        <v>5</v>
      </c>
      <c r="C20" s="6">
        <v>6309629.0</v>
      </c>
    </row>
    <row r="21">
      <c r="B21" s="5" t="s">
        <v>6</v>
      </c>
      <c r="C21" s="6">
        <v>2023.0</v>
      </c>
    </row>
    <row r="22">
      <c r="A22" s="4" t="s">
        <v>16</v>
      </c>
      <c r="B22" s="5" t="s">
        <v>5</v>
      </c>
      <c r="C22" s="6">
        <v>4.7911583E7</v>
      </c>
      <c r="D22" s="15">
        <v>38427.0</v>
      </c>
    </row>
    <row r="23">
      <c r="B23" s="5" t="s">
        <v>6</v>
      </c>
      <c r="C23" s="6">
        <v>2023.0</v>
      </c>
      <c r="D23" s="10">
        <v>2023.0</v>
      </c>
    </row>
    <row r="24">
      <c r="A24" s="4" t="s">
        <v>17</v>
      </c>
      <c r="B24" s="5" t="s">
        <v>5</v>
      </c>
      <c r="C24" s="6">
        <v>1847556.0</v>
      </c>
    </row>
    <row r="25">
      <c r="B25" s="5" t="s">
        <v>6</v>
      </c>
      <c r="C25" s="6">
        <v>2023.0</v>
      </c>
    </row>
    <row r="26">
      <c r="A26" s="4" t="s">
        <v>18</v>
      </c>
      <c r="B26" s="5" t="s">
        <v>5</v>
      </c>
      <c r="C26" s="6">
        <v>1.8124841E7</v>
      </c>
      <c r="D26" s="12">
        <v>9730.0</v>
      </c>
    </row>
    <row r="27">
      <c r="B27" s="5" t="s">
        <v>6</v>
      </c>
      <c r="C27" s="6">
        <v>2023.0</v>
      </c>
      <c r="D27" s="10">
        <v>2025.0</v>
      </c>
    </row>
    <row r="28">
      <c r="A28" s="4" t="s">
        <v>19</v>
      </c>
      <c r="B28" s="5" t="s">
        <v>5</v>
      </c>
      <c r="C28" s="6">
        <v>1.0644853E7</v>
      </c>
    </row>
    <row r="29">
      <c r="B29" s="5" t="s">
        <v>6</v>
      </c>
      <c r="C29" s="6">
        <v>2023.0</v>
      </c>
    </row>
    <row r="30">
      <c r="A30" s="4" t="s">
        <v>20</v>
      </c>
      <c r="B30" s="5" t="s">
        <v>5</v>
      </c>
      <c r="C30" s="6">
        <v>1.29739761E8</v>
      </c>
      <c r="D30" s="12">
        <v>324272.0</v>
      </c>
    </row>
    <row r="31">
      <c r="B31" s="5" t="s">
        <v>6</v>
      </c>
      <c r="C31" s="6">
        <v>2023.0</v>
      </c>
      <c r="D31" s="10">
        <v>2025.0</v>
      </c>
    </row>
    <row r="32">
      <c r="A32" s="4" t="s">
        <v>21</v>
      </c>
      <c r="B32" s="5" t="s">
        <v>5</v>
      </c>
      <c r="C32" s="6">
        <v>6823619.0</v>
      </c>
    </row>
    <row r="33">
      <c r="B33" s="5" t="s">
        <v>6</v>
      </c>
      <c r="C33" s="6">
        <v>2023.0</v>
      </c>
    </row>
    <row r="34">
      <c r="A34" s="4" t="s">
        <v>22</v>
      </c>
      <c r="B34" s="5" t="s">
        <v>5</v>
      </c>
      <c r="C34" s="6">
        <v>4458758.0</v>
      </c>
    </row>
    <row r="35">
      <c r="B35" s="5" t="s">
        <v>6</v>
      </c>
      <c r="C35" s="6">
        <v>2023.0</v>
      </c>
    </row>
    <row r="36">
      <c r="A36" s="4" t="s">
        <v>23</v>
      </c>
      <c r="B36" s="5" t="s">
        <v>5</v>
      </c>
      <c r="C36" s="6">
        <v>6844150.0</v>
      </c>
      <c r="D36" s="16"/>
    </row>
    <row r="37">
      <c r="B37" s="5" t="s">
        <v>6</v>
      </c>
      <c r="C37" s="6">
        <v>2023.0</v>
      </c>
      <c r="D37" s="16"/>
    </row>
    <row r="38">
      <c r="A38" s="4" t="s">
        <v>24</v>
      </c>
      <c r="B38" s="5" t="s">
        <v>5</v>
      </c>
      <c r="C38" s="6">
        <v>3242022.0</v>
      </c>
      <c r="D38" s="17">
        <v>3916.0</v>
      </c>
    </row>
    <row r="39">
      <c r="B39" s="5" t="s">
        <v>6</v>
      </c>
      <c r="C39" s="6">
        <v>2023.0</v>
      </c>
      <c r="D39" s="6">
        <v>2024.0</v>
      </c>
    </row>
    <row r="40">
      <c r="A40" s="4" t="s">
        <v>25</v>
      </c>
      <c r="B40" s="5" t="s">
        <v>5</v>
      </c>
      <c r="C40" s="6">
        <v>3388083.0</v>
      </c>
      <c r="D40" s="12">
        <v>7543.0</v>
      </c>
    </row>
    <row r="41">
      <c r="B41" s="5" t="s">
        <v>6</v>
      </c>
      <c r="C41" s="6">
        <v>2023.0</v>
      </c>
      <c r="D41" s="10">
        <v>2014.0</v>
      </c>
    </row>
    <row r="42">
      <c r="A42" s="4" t="s">
        <v>26</v>
      </c>
      <c r="B42" s="5" t="s">
        <v>5</v>
      </c>
      <c r="C42" s="6">
        <v>2.8300861E7</v>
      </c>
    </row>
    <row r="43">
      <c r="B43" s="5" t="s">
        <v>6</v>
      </c>
      <c r="C43" s="6">
        <v>2023.0</v>
      </c>
    </row>
    <row r="44">
      <c r="A44" s="4" t="s">
        <v>27</v>
      </c>
      <c r="B44" s="5" t="s">
        <v>5</v>
      </c>
      <c r="C44" s="6">
        <v>3.4347733E8</v>
      </c>
      <c r="D44" s="17">
        <v>5000.0</v>
      </c>
    </row>
    <row r="45">
      <c r="B45" s="5" t="s">
        <v>6</v>
      </c>
      <c r="C45" s="6">
        <v>2023.0</v>
      </c>
    </row>
  </sheetData>
  <mergeCells count="22">
    <mergeCell ref="A2:A3"/>
    <mergeCell ref="A4:A5"/>
    <mergeCell ref="A6:A7"/>
    <mergeCell ref="A8:A9"/>
    <mergeCell ref="A10:A11"/>
    <mergeCell ref="A12:A13"/>
    <mergeCell ref="A14:A15"/>
    <mergeCell ref="A30:A31"/>
    <mergeCell ref="A32:A33"/>
    <mergeCell ref="A34:A35"/>
    <mergeCell ref="A36:A37"/>
    <mergeCell ref="A38:A39"/>
    <mergeCell ref="A40:A41"/>
    <mergeCell ref="A42:A43"/>
    <mergeCell ref="A44:A45"/>
    <mergeCell ref="A16:A17"/>
    <mergeCell ref="A18:A19"/>
    <mergeCell ref="A20:A21"/>
    <mergeCell ref="A22:A23"/>
    <mergeCell ref="A24:A25"/>
    <mergeCell ref="A26:A27"/>
    <mergeCell ref="A28:A29"/>
  </mergeCells>
  <hyperlinks>
    <hyperlink r:id="rId1" ref="D2"/>
    <hyperlink r:id="rId2" ref="D8"/>
    <hyperlink r:id="rId3" ref="D10"/>
    <hyperlink r:id="rId4" ref="D12"/>
    <hyperlink r:id="rId5" ref="D16"/>
    <hyperlink r:id="rId6" ref="D22"/>
    <hyperlink r:id="rId7" ref="D26"/>
    <hyperlink r:id="rId8" ref="D30"/>
    <hyperlink r:id="rId9" ref="D38"/>
    <hyperlink r:id="rId10" ref="D40"/>
    <hyperlink r:id="rId11" ref="D44"/>
  </hyperlinks>
  <drawing r:id="rId1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5"/>
  </cols>
  <sheetData>
    <row r="2">
      <c r="A2" s="10" t="s">
        <v>28</v>
      </c>
      <c r="B2" s="18" t="s">
        <v>29</v>
      </c>
    </row>
    <row r="3">
      <c r="A3" s="10" t="s">
        <v>30</v>
      </c>
    </row>
    <row r="4">
      <c r="A4" s="10" t="s">
        <v>31</v>
      </c>
      <c r="B4" s="19">
        <v>6.63E8</v>
      </c>
    </row>
    <row r="5">
      <c r="A5" s="10" t="s">
        <v>32</v>
      </c>
      <c r="B5" s="19">
        <f>2*B4/1000</f>
        <v>1326000</v>
      </c>
    </row>
    <row r="6">
      <c r="A6" s="10" t="s">
        <v>33</v>
      </c>
      <c r="B6" s="19">
        <f>3*B4/1000</f>
        <v>1989000</v>
      </c>
    </row>
    <row r="7">
      <c r="A7" s="10" t="s">
        <v>34</v>
      </c>
      <c r="B7" s="19">
        <f>sum(B5:B6)</f>
        <v>3315000</v>
      </c>
    </row>
  </sheetData>
  <hyperlinks>
    <hyperlink r:id="rId1" ref="B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0"/>
  </cols>
  <sheetData>
    <row r="1">
      <c r="A1" s="20" t="s">
        <v>13</v>
      </c>
    </row>
    <row r="2">
      <c r="A2" s="12" t="s">
        <v>35</v>
      </c>
      <c r="D2" s="10" t="s">
        <v>36</v>
      </c>
    </row>
    <row r="3">
      <c r="A3" s="10">
        <v>8486.0</v>
      </c>
      <c r="B3" s="10" t="s">
        <v>37</v>
      </c>
    </row>
    <row r="4">
      <c r="A4" s="10">
        <v>898.0</v>
      </c>
      <c r="B4" s="10" t="s">
        <v>38</v>
      </c>
    </row>
    <row r="5">
      <c r="A5" s="10">
        <v>1514.0</v>
      </c>
      <c r="B5" s="10" t="s">
        <v>39</v>
      </c>
    </row>
    <row r="6">
      <c r="A6" s="10">
        <v>9929.0</v>
      </c>
      <c r="B6" s="10" t="s">
        <v>40</v>
      </c>
    </row>
    <row r="7">
      <c r="A7" s="10">
        <v>3332.0</v>
      </c>
      <c r="B7" s="10" t="s">
        <v>41</v>
      </c>
    </row>
    <row r="8">
      <c r="A8" s="10">
        <v>786.0</v>
      </c>
      <c r="B8" s="10" t="s">
        <v>42</v>
      </c>
    </row>
    <row r="9">
      <c r="A9" s="10">
        <v>49.0</v>
      </c>
      <c r="B9" s="10" t="s">
        <v>43</v>
      </c>
    </row>
    <row r="10">
      <c r="A10" s="10">
        <v>789.0</v>
      </c>
      <c r="B10" s="10" t="s">
        <v>44</v>
      </c>
    </row>
    <row r="11">
      <c r="A11" s="21">
        <v>80.0</v>
      </c>
      <c r="B11" s="10" t="s">
        <v>45</v>
      </c>
    </row>
    <row r="12">
      <c r="A12" s="10">
        <v>17.0</v>
      </c>
      <c r="B12" s="22" t="s">
        <v>46</v>
      </c>
    </row>
    <row r="13">
      <c r="A13" s="10">
        <v>1.0</v>
      </c>
      <c r="B13" s="10" t="s">
        <v>47</v>
      </c>
    </row>
    <row r="14">
      <c r="A14" s="23">
        <f>sum(A3:A13)</f>
        <v>25881</v>
      </c>
    </row>
    <row r="16">
      <c r="A16" s="10" t="s">
        <v>48</v>
      </c>
      <c r="B16" s="10" t="s">
        <v>49</v>
      </c>
    </row>
    <row r="17">
      <c r="A17" s="10">
        <v>26616.0</v>
      </c>
      <c r="B17" s="23">
        <f>sum(A13,A12,A11,A9,A7,A4,A3,A10,A8)</f>
        <v>14438</v>
      </c>
    </row>
    <row r="19">
      <c r="A19" s="20" t="s">
        <v>11</v>
      </c>
    </row>
    <row r="20">
      <c r="A20" s="12" t="s">
        <v>50</v>
      </c>
    </row>
    <row r="21">
      <c r="A21" s="24" t="s">
        <v>51</v>
      </c>
      <c r="B21" s="10">
        <v>918.0</v>
      </c>
    </row>
    <row r="22">
      <c r="A22" s="10" t="s">
        <v>52</v>
      </c>
      <c r="B22" s="10">
        <v>1398.0</v>
      </c>
    </row>
    <row r="23">
      <c r="A23" s="10" t="s">
        <v>53</v>
      </c>
      <c r="B23" s="10">
        <v>56.0</v>
      </c>
    </row>
    <row r="24">
      <c r="A24" s="10" t="s">
        <v>54</v>
      </c>
      <c r="B24" s="10">
        <v>46.0</v>
      </c>
    </row>
    <row r="25">
      <c r="A25" s="10" t="s">
        <v>55</v>
      </c>
      <c r="B25" s="10">
        <v>72.0</v>
      </c>
    </row>
    <row r="26">
      <c r="A26" s="10" t="s">
        <v>56</v>
      </c>
      <c r="B26" s="25">
        <v>7613.0</v>
      </c>
      <c r="C26" s="26" t="s">
        <v>57</v>
      </c>
    </row>
    <row r="28">
      <c r="A28" s="10" t="s">
        <v>58</v>
      </c>
      <c r="B28" s="23">
        <f>SUM(B21:B26)</f>
        <v>10103</v>
      </c>
    </row>
    <row r="29">
      <c r="A29" s="10" t="s">
        <v>59</v>
      </c>
      <c r="B29" s="10">
        <v>10104.0</v>
      </c>
    </row>
    <row r="31">
      <c r="A31" s="10" t="s">
        <v>60</v>
      </c>
      <c r="B31" s="10">
        <v>13217.0</v>
      </c>
    </row>
  </sheetData>
  <hyperlinks>
    <hyperlink r:id="rId1" ref="A2"/>
    <hyperlink r:id="rId2" ref="A20"/>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
        <v>61</v>
      </c>
    </row>
    <row r="2">
      <c r="A2" s="10" t="s">
        <v>62</v>
      </c>
      <c r="F2" s="10" t="s">
        <v>63</v>
      </c>
    </row>
    <row r="3">
      <c r="A3" s="27" t="s">
        <v>64</v>
      </c>
      <c r="B3" s="27" t="s">
        <v>65</v>
      </c>
      <c r="C3" s="27" t="s">
        <v>66</v>
      </c>
      <c r="D3" s="27" t="s">
        <v>67</v>
      </c>
      <c r="F3" s="27" t="s">
        <v>68</v>
      </c>
      <c r="G3" s="27" t="s">
        <v>69</v>
      </c>
      <c r="H3" s="27" t="s">
        <v>70</v>
      </c>
      <c r="I3" s="27" t="s">
        <v>71</v>
      </c>
      <c r="J3" s="27" t="s">
        <v>72</v>
      </c>
      <c r="K3" s="10" t="s">
        <v>73</v>
      </c>
    </row>
    <row r="4">
      <c r="A4" s="27" t="s">
        <v>7</v>
      </c>
      <c r="B4" s="27" t="s">
        <v>74</v>
      </c>
      <c r="C4" s="28">
        <v>2016.0</v>
      </c>
      <c r="D4" s="28">
        <v>4.3900312E7</v>
      </c>
      <c r="F4" s="27" t="s">
        <v>74</v>
      </c>
      <c r="G4" s="27" t="s">
        <v>7</v>
      </c>
      <c r="H4" s="28">
        <v>2016.0</v>
      </c>
      <c r="I4" s="28">
        <v>222.6</v>
      </c>
      <c r="J4" s="28">
        <v>222.572</v>
      </c>
      <c r="K4" s="23">
        <f>(J4*D4) / 100000</f>
        <v>97709.80242</v>
      </c>
    </row>
    <row r="5">
      <c r="A5" s="27" t="s">
        <v>7</v>
      </c>
      <c r="B5" s="27" t="s">
        <v>74</v>
      </c>
      <c r="C5" s="28">
        <v>2017.0</v>
      </c>
      <c r="D5" s="28">
        <v>4.4288898E7</v>
      </c>
      <c r="F5" s="27" t="s">
        <v>75</v>
      </c>
      <c r="G5" s="27" t="s">
        <v>11</v>
      </c>
      <c r="H5" s="28">
        <v>2016.0</v>
      </c>
      <c r="I5" s="28">
        <v>142.0</v>
      </c>
      <c r="J5" s="28">
        <v>142.018</v>
      </c>
      <c r="K5" s="23">
        <f>(J5*D12) / 100000</f>
        <v>6912.020321</v>
      </c>
    </row>
    <row r="6">
      <c r="A6" s="27" t="s">
        <v>7</v>
      </c>
      <c r="B6" s="27" t="s">
        <v>74</v>
      </c>
      <c r="C6" s="28">
        <v>2018.0</v>
      </c>
      <c r="D6" s="28">
        <v>4.4654876E7</v>
      </c>
      <c r="F6" s="27" t="s">
        <v>76</v>
      </c>
      <c r="G6" s="27" t="s">
        <v>12</v>
      </c>
      <c r="H6" s="28">
        <v>2016.0</v>
      </c>
      <c r="I6" s="28">
        <v>31.06</v>
      </c>
      <c r="J6" s="28">
        <v>31.061</v>
      </c>
      <c r="K6" s="23">
        <f>(J6*D20) / 100000</f>
        <v>3499.212675</v>
      </c>
    </row>
    <row r="7">
      <c r="A7" s="27" t="s">
        <v>7</v>
      </c>
      <c r="B7" s="27" t="s">
        <v>74</v>
      </c>
      <c r="C7" s="28">
        <v>2019.0</v>
      </c>
      <c r="D7" s="28">
        <v>4.4973469E7</v>
      </c>
      <c r="F7" s="27" t="s">
        <v>77</v>
      </c>
      <c r="G7" s="27" t="s">
        <v>78</v>
      </c>
      <c r="H7" s="28">
        <v>2016.0</v>
      </c>
      <c r="I7" s="28">
        <v>7.6</v>
      </c>
      <c r="J7" s="28">
        <v>7.598</v>
      </c>
      <c r="K7" s="23">
        <f>(J7*D28) / 100000</f>
        <v>801.6976514</v>
      </c>
    </row>
    <row r="8">
      <c r="A8" s="27" t="s">
        <v>7</v>
      </c>
      <c r="B8" s="27" t="s">
        <v>74</v>
      </c>
      <c r="C8" s="28">
        <v>2020.0</v>
      </c>
      <c r="D8" s="28">
        <v>4.519196E7</v>
      </c>
      <c r="F8" s="27" t="s">
        <v>79</v>
      </c>
      <c r="G8" s="27" t="s">
        <v>14</v>
      </c>
      <c r="H8" s="28">
        <v>2016.0</v>
      </c>
      <c r="I8" s="28">
        <v>7.66</v>
      </c>
      <c r="J8" s="28">
        <v>7.662</v>
      </c>
      <c r="K8" s="23">
        <f>(J8*D36) / 100000</f>
        <v>1264.62398</v>
      </c>
    </row>
    <row r="9">
      <c r="A9" s="27" t="s">
        <v>7</v>
      </c>
      <c r="B9" s="27" t="s">
        <v>74</v>
      </c>
      <c r="C9" s="28">
        <v>2021.0</v>
      </c>
      <c r="D9" s="28">
        <v>4.5312282E7</v>
      </c>
      <c r="F9" s="27" t="s">
        <v>80</v>
      </c>
      <c r="G9" s="27" t="s">
        <v>15</v>
      </c>
      <c r="H9" s="28">
        <v>2016.0</v>
      </c>
      <c r="I9" s="28">
        <v>2.08</v>
      </c>
      <c r="J9" s="28">
        <v>2.075</v>
      </c>
      <c r="K9" s="23">
        <f>(J9*D44) / 100000</f>
        <v>128.666766</v>
      </c>
    </row>
    <row r="10">
      <c r="A10" s="27" t="s">
        <v>7</v>
      </c>
      <c r="B10" s="27" t="s">
        <v>74</v>
      </c>
      <c r="C10" s="28">
        <v>2022.0</v>
      </c>
      <c r="D10" s="28">
        <v>4.5407904E7</v>
      </c>
      <c r="F10" s="27" t="s">
        <v>81</v>
      </c>
      <c r="G10" s="27" t="s">
        <v>82</v>
      </c>
      <c r="H10" s="28">
        <v>2017.0</v>
      </c>
      <c r="I10" s="28">
        <v>0.43</v>
      </c>
      <c r="J10" s="28">
        <v>0.425</v>
      </c>
      <c r="K10" s="23">
        <f>(D53*J10) / 100000</f>
        <v>6.64020425</v>
      </c>
    </row>
    <row r="11">
      <c r="A11" s="27" t="s">
        <v>7</v>
      </c>
      <c r="B11" s="27" t="s">
        <v>74</v>
      </c>
      <c r="C11" s="28">
        <v>2023.0</v>
      </c>
      <c r="D11" s="29">
        <v>4.5538402E7</v>
      </c>
      <c r="F11" s="27" t="s">
        <v>83</v>
      </c>
      <c r="G11" s="27" t="s">
        <v>18</v>
      </c>
      <c r="H11" s="28">
        <v>2016.0</v>
      </c>
      <c r="I11" s="28">
        <v>46.15</v>
      </c>
      <c r="J11" s="28">
        <v>46.147</v>
      </c>
      <c r="K11" s="23">
        <f>(J11*D60) / 100000</f>
        <v>7507.545139</v>
      </c>
    </row>
    <row r="12">
      <c r="A12" s="27" t="s">
        <v>11</v>
      </c>
      <c r="B12" s="27" t="s">
        <v>75</v>
      </c>
      <c r="C12" s="28">
        <v>2016.0</v>
      </c>
      <c r="D12" s="28">
        <v>4867003.0</v>
      </c>
      <c r="F12" s="27" t="s">
        <v>84</v>
      </c>
      <c r="G12" s="27" t="s">
        <v>19</v>
      </c>
      <c r="H12" s="28">
        <v>2014.0</v>
      </c>
      <c r="I12" s="28">
        <v>0.62</v>
      </c>
      <c r="J12" s="28">
        <v>0.625</v>
      </c>
      <c r="K12" s="23">
        <f>(J12*D68) / 100000</f>
        <v>58.827375</v>
      </c>
    </row>
    <row r="13">
      <c r="A13" s="27" t="s">
        <v>11</v>
      </c>
      <c r="B13" s="27" t="s">
        <v>75</v>
      </c>
      <c r="C13" s="28">
        <v>2017.0</v>
      </c>
      <c r="D13" s="28">
        <v>4913177.0</v>
      </c>
      <c r="F13" s="27" t="s">
        <v>85</v>
      </c>
      <c r="G13" s="27" t="s">
        <v>20</v>
      </c>
      <c r="H13" s="28">
        <v>2016.0</v>
      </c>
      <c r="I13" s="28">
        <v>3.46</v>
      </c>
      <c r="J13" s="28">
        <v>3.459</v>
      </c>
      <c r="K13" s="23">
        <f>(D76*J13) / 100000</f>
        <v>4228.673989</v>
      </c>
    </row>
    <row r="14">
      <c r="A14" s="27" t="s">
        <v>11</v>
      </c>
      <c r="B14" s="27" t="s">
        <v>75</v>
      </c>
      <c r="C14" s="28">
        <v>2018.0</v>
      </c>
      <c r="D14" s="28">
        <v>4957813.0</v>
      </c>
      <c r="F14" s="27" t="s">
        <v>86</v>
      </c>
      <c r="G14" s="27" t="s">
        <v>21</v>
      </c>
      <c r="H14" s="28">
        <v>2017.0</v>
      </c>
      <c r="I14" s="28">
        <v>1.79</v>
      </c>
      <c r="J14" s="28">
        <v>1.792</v>
      </c>
      <c r="K14" s="23">
        <f>(D84*J14) / 100000</f>
        <v>111.6893389</v>
      </c>
    </row>
    <row r="15">
      <c r="A15" s="27" t="s">
        <v>11</v>
      </c>
      <c r="B15" s="27" t="s">
        <v>75</v>
      </c>
      <c r="C15" s="28">
        <v>2019.0</v>
      </c>
      <c r="D15" s="28">
        <v>4999549.0</v>
      </c>
      <c r="F15" s="27" t="s">
        <v>87</v>
      </c>
      <c r="G15" s="27" t="s">
        <v>22</v>
      </c>
      <c r="H15" s="28">
        <v>2016.0</v>
      </c>
      <c r="I15" s="28">
        <v>7.33</v>
      </c>
      <c r="J15" s="28">
        <v>7.331</v>
      </c>
      <c r="K15" s="23">
        <f>(D92*J15) / 100000</f>
        <v>295.3722214</v>
      </c>
    </row>
    <row r="16">
      <c r="A16" s="27" t="s">
        <v>11</v>
      </c>
      <c r="B16" s="27" t="s">
        <v>75</v>
      </c>
      <c r="C16" s="28">
        <v>2020.0</v>
      </c>
      <c r="D16" s="28">
        <v>5034323.0</v>
      </c>
      <c r="F16" s="27" t="s">
        <v>88</v>
      </c>
      <c r="G16" s="27" t="s">
        <v>89</v>
      </c>
      <c r="H16" s="28">
        <v>2016.0</v>
      </c>
      <c r="I16" s="28">
        <v>9.51</v>
      </c>
      <c r="J16" s="28">
        <v>9.507</v>
      </c>
      <c r="K16" s="23">
        <f>(D100*J16) / 100000</f>
        <v>2934.47787</v>
      </c>
    </row>
    <row r="17">
      <c r="A17" s="27" t="s">
        <v>11</v>
      </c>
      <c r="B17" s="27" t="s">
        <v>75</v>
      </c>
      <c r="C17" s="28">
        <v>2021.0</v>
      </c>
      <c r="D17" s="28">
        <v>5059991.0</v>
      </c>
      <c r="F17" s="27" t="s">
        <v>90</v>
      </c>
      <c r="G17" s="27" t="s">
        <v>91</v>
      </c>
      <c r="H17" s="28">
        <v>2016.0</v>
      </c>
      <c r="I17" s="28">
        <v>29.86</v>
      </c>
      <c r="J17" s="28">
        <v>29.864</v>
      </c>
      <c r="K17" s="23">
        <f>(J17*D108) / 100000</f>
        <v>99209.59877</v>
      </c>
    </row>
    <row r="18">
      <c r="A18" s="27" t="s">
        <v>11</v>
      </c>
      <c r="B18" s="27" t="s">
        <v>75</v>
      </c>
      <c r="C18" s="28">
        <v>2022.0</v>
      </c>
      <c r="D18" s="28">
        <v>5081764.0</v>
      </c>
    </row>
    <row r="19">
      <c r="A19" s="27" t="s">
        <v>11</v>
      </c>
      <c r="B19" s="27" t="s">
        <v>75</v>
      </c>
      <c r="C19" s="28">
        <v>2023.0</v>
      </c>
      <c r="D19" s="28">
        <v>5105526.0</v>
      </c>
      <c r="K19" s="23">
        <f>SUM(K4:K16)</f>
        <v>125459.25</v>
      </c>
    </row>
    <row r="20">
      <c r="A20" s="27" t="s">
        <v>12</v>
      </c>
      <c r="B20" s="27" t="s">
        <v>76</v>
      </c>
      <c r="C20" s="28">
        <v>2016.0</v>
      </c>
      <c r="D20" s="28">
        <v>1.1265615E7</v>
      </c>
    </row>
    <row r="21">
      <c r="A21" s="27" t="s">
        <v>12</v>
      </c>
      <c r="B21" s="27" t="s">
        <v>76</v>
      </c>
      <c r="C21" s="28">
        <v>2017.0</v>
      </c>
      <c r="D21" s="28">
        <v>1.1247824E7</v>
      </c>
    </row>
    <row r="22">
      <c r="A22" s="27" t="s">
        <v>12</v>
      </c>
      <c r="B22" s="27" t="s">
        <v>76</v>
      </c>
      <c r="C22" s="28">
        <v>2018.0</v>
      </c>
      <c r="D22" s="28">
        <v>1.1227116E7</v>
      </c>
    </row>
    <row r="23">
      <c r="A23" s="27" t="s">
        <v>12</v>
      </c>
      <c r="B23" s="27" t="s">
        <v>76</v>
      </c>
      <c r="C23" s="28">
        <v>2019.0</v>
      </c>
      <c r="D23" s="28">
        <v>1.1202847E7</v>
      </c>
    </row>
    <row r="24">
      <c r="A24" s="27" t="s">
        <v>12</v>
      </c>
      <c r="B24" s="27" t="s">
        <v>76</v>
      </c>
      <c r="C24" s="28">
        <v>2020.0</v>
      </c>
      <c r="D24" s="28">
        <v>1.1176349E7</v>
      </c>
    </row>
    <row r="25">
      <c r="A25" s="27" t="s">
        <v>12</v>
      </c>
      <c r="B25" s="27" t="s">
        <v>76</v>
      </c>
      <c r="C25" s="28">
        <v>2021.0</v>
      </c>
      <c r="D25" s="28">
        <v>1.1122169E7</v>
      </c>
    </row>
    <row r="26">
      <c r="A26" s="27" t="s">
        <v>12</v>
      </c>
      <c r="B26" s="27" t="s">
        <v>76</v>
      </c>
      <c r="C26" s="28">
        <v>2022.0</v>
      </c>
      <c r="D26" s="28">
        <v>1.1059822E7</v>
      </c>
    </row>
    <row r="27">
      <c r="A27" s="27" t="s">
        <v>12</v>
      </c>
      <c r="B27" s="27" t="s">
        <v>76</v>
      </c>
      <c r="C27" s="28">
        <v>2023.0</v>
      </c>
      <c r="D27" s="28">
        <v>1.1019932E7</v>
      </c>
    </row>
    <row r="28">
      <c r="A28" s="27" t="s">
        <v>78</v>
      </c>
      <c r="B28" s="27" t="s">
        <v>77</v>
      </c>
      <c r="C28" s="28">
        <v>2016.0</v>
      </c>
      <c r="D28" s="29">
        <v>1.055143E7</v>
      </c>
    </row>
    <row r="29">
      <c r="A29" s="27" t="s">
        <v>78</v>
      </c>
      <c r="B29" s="27" t="s">
        <v>77</v>
      </c>
      <c r="C29" s="28">
        <v>2017.0</v>
      </c>
      <c r="D29" s="28">
        <v>1.0666846E7</v>
      </c>
    </row>
    <row r="30">
      <c r="A30" s="27" t="s">
        <v>78</v>
      </c>
      <c r="B30" s="27" t="s">
        <v>77</v>
      </c>
      <c r="C30" s="28">
        <v>2018.0</v>
      </c>
      <c r="D30" s="28">
        <v>1.0782048E7</v>
      </c>
    </row>
    <row r="31">
      <c r="A31" s="27" t="s">
        <v>78</v>
      </c>
      <c r="B31" s="27" t="s">
        <v>77</v>
      </c>
      <c r="C31" s="28">
        <v>2019.0</v>
      </c>
      <c r="D31" s="28">
        <v>1.0894043E7</v>
      </c>
    </row>
    <row r="32">
      <c r="A32" s="27" t="s">
        <v>78</v>
      </c>
      <c r="B32" s="27" t="s">
        <v>77</v>
      </c>
      <c r="C32" s="28">
        <v>2020.0</v>
      </c>
      <c r="D32" s="28">
        <v>1.1008298E7</v>
      </c>
    </row>
    <row r="33">
      <c r="A33" s="27" t="s">
        <v>78</v>
      </c>
      <c r="B33" s="27" t="s">
        <v>77</v>
      </c>
      <c r="C33" s="28">
        <v>2021.0</v>
      </c>
      <c r="D33" s="28">
        <v>1.112348E7</v>
      </c>
    </row>
    <row r="34">
      <c r="A34" s="27" t="s">
        <v>78</v>
      </c>
      <c r="B34" s="27" t="s">
        <v>77</v>
      </c>
      <c r="C34" s="28">
        <v>2022.0</v>
      </c>
      <c r="D34" s="28">
        <v>1.1230734E7</v>
      </c>
    </row>
    <row r="35">
      <c r="A35" s="27" t="s">
        <v>78</v>
      </c>
      <c r="B35" s="27" t="s">
        <v>77</v>
      </c>
      <c r="C35" s="28">
        <v>2023.0</v>
      </c>
      <c r="D35" s="28">
        <v>1.1331269E7</v>
      </c>
    </row>
    <row r="36">
      <c r="A36" s="27" t="s">
        <v>14</v>
      </c>
      <c r="B36" s="27" t="s">
        <v>79</v>
      </c>
      <c r="C36" s="28">
        <v>2016.0</v>
      </c>
      <c r="D36" s="28">
        <v>1.6505142E7</v>
      </c>
    </row>
    <row r="37">
      <c r="A37" s="27" t="s">
        <v>14</v>
      </c>
      <c r="B37" s="27" t="s">
        <v>79</v>
      </c>
      <c r="C37" s="28">
        <v>2017.0</v>
      </c>
      <c r="D37" s="28">
        <v>1.6759515E7</v>
      </c>
    </row>
    <row r="38">
      <c r="A38" s="27" t="s">
        <v>14</v>
      </c>
      <c r="B38" s="27" t="s">
        <v>79</v>
      </c>
      <c r="C38" s="28">
        <v>2018.0</v>
      </c>
      <c r="D38" s="28">
        <v>1.7049542E7</v>
      </c>
    </row>
    <row r="39">
      <c r="A39" s="27" t="s">
        <v>14</v>
      </c>
      <c r="B39" s="27" t="s">
        <v>79</v>
      </c>
      <c r="C39" s="28">
        <v>2019.0</v>
      </c>
      <c r="D39" s="28">
        <v>1.7340017E7</v>
      </c>
    </row>
    <row r="40">
      <c r="A40" s="27" t="s">
        <v>14</v>
      </c>
      <c r="B40" s="27" t="s">
        <v>79</v>
      </c>
      <c r="C40" s="28">
        <v>2020.0</v>
      </c>
      <c r="D40" s="28">
        <v>1.7546058E7</v>
      </c>
    </row>
    <row r="41">
      <c r="A41" s="27" t="s">
        <v>14</v>
      </c>
      <c r="B41" s="27" t="s">
        <v>79</v>
      </c>
      <c r="C41" s="28">
        <v>2021.0</v>
      </c>
      <c r="D41" s="28">
        <v>1.7682454E7</v>
      </c>
    </row>
    <row r="42">
      <c r="A42" s="27" t="s">
        <v>14</v>
      </c>
      <c r="B42" s="27" t="s">
        <v>79</v>
      </c>
      <c r="C42" s="28">
        <v>2022.0</v>
      </c>
      <c r="D42" s="28">
        <v>1.78239E7</v>
      </c>
    </row>
    <row r="43">
      <c r="A43" s="27" t="s">
        <v>14</v>
      </c>
      <c r="B43" s="27" t="s">
        <v>79</v>
      </c>
      <c r="C43" s="28">
        <v>2023.0</v>
      </c>
      <c r="D43" s="28">
        <v>1.7980079E7</v>
      </c>
    </row>
    <row r="44">
      <c r="A44" s="27" t="s">
        <v>15</v>
      </c>
      <c r="B44" s="27" t="s">
        <v>80</v>
      </c>
      <c r="C44" s="28">
        <v>2016.0</v>
      </c>
      <c r="D44" s="28">
        <v>6200808.0</v>
      </c>
    </row>
    <row r="45">
      <c r="A45" s="27" t="s">
        <v>15</v>
      </c>
      <c r="B45" s="27" t="s">
        <v>80</v>
      </c>
      <c r="C45" s="28">
        <v>2017.0</v>
      </c>
      <c r="D45" s="28">
        <v>6213538.0</v>
      </c>
    </row>
    <row r="46">
      <c r="A46" s="27" t="s">
        <v>15</v>
      </c>
      <c r="B46" s="27" t="s">
        <v>80</v>
      </c>
      <c r="C46" s="28">
        <v>2018.0</v>
      </c>
      <c r="D46" s="28">
        <v>6219803.0</v>
      </c>
    </row>
    <row r="47">
      <c r="A47" s="27" t="s">
        <v>15</v>
      </c>
      <c r="B47" s="27" t="s">
        <v>80</v>
      </c>
      <c r="C47" s="28">
        <v>2019.0</v>
      </c>
      <c r="D47" s="28">
        <v>6222316.0</v>
      </c>
    </row>
    <row r="48">
      <c r="A48" s="27" t="s">
        <v>15</v>
      </c>
      <c r="B48" s="27" t="s">
        <v>80</v>
      </c>
      <c r="C48" s="28">
        <v>2020.0</v>
      </c>
      <c r="D48" s="28">
        <v>6234679.0</v>
      </c>
    </row>
    <row r="49">
      <c r="A49" s="27" t="s">
        <v>15</v>
      </c>
      <c r="B49" s="27" t="s">
        <v>80</v>
      </c>
      <c r="C49" s="28">
        <v>2021.0</v>
      </c>
      <c r="D49" s="28">
        <v>6255780.0</v>
      </c>
    </row>
    <row r="50">
      <c r="A50" s="27" t="s">
        <v>15</v>
      </c>
      <c r="B50" s="27" t="s">
        <v>80</v>
      </c>
      <c r="C50" s="28">
        <v>2022.0</v>
      </c>
      <c r="D50" s="28">
        <v>6280316.0</v>
      </c>
    </row>
    <row r="51">
      <c r="A51" s="27" t="s">
        <v>15</v>
      </c>
      <c r="B51" s="27" t="s">
        <v>80</v>
      </c>
      <c r="C51" s="28">
        <v>2023.0</v>
      </c>
      <c r="D51" s="28">
        <v>6309629.0</v>
      </c>
    </row>
    <row r="52">
      <c r="A52" s="27" t="s">
        <v>82</v>
      </c>
      <c r="B52" s="27" t="s">
        <v>81</v>
      </c>
      <c r="C52" s="28">
        <v>2016.0</v>
      </c>
      <c r="D52" s="28">
        <v>1508192.0</v>
      </c>
    </row>
    <row r="53">
      <c r="A53" s="27" t="s">
        <v>82</v>
      </c>
      <c r="B53" s="27" t="s">
        <v>81</v>
      </c>
      <c r="C53" s="28">
        <v>2017.0</v>
      </c>
      <c r="D53" s="28">
        <v>1562401.0</v>
      </c>
    </row>
    <row r="54">
      <c r="A54" s="27" t="s">
        <v>82</v>
      </c>
      <c r="B54" s="27" t="s">
        <v>81</v>
      </c>
      <c r="C54" s="28">
        <v>2018.0</v>
      </c>
      <c r="D54" s="28">
        <v>1616425.0</v>
      </c>
    </row>
    <row r="55">
      <c r="A55" s="27" t="s">
        <v>82</v>
      </c>
      <c r="B55" s="27" t="s">
        <v>81</v>
      </c>
      <c r="C55" s="28">
        <v>2019.0</v>
      </c>
      <c r="D55" s="28">
        <v>1670184.0</v>
      </c>
    </row>
    <row r="56">
      <c r="A56" s="27" t="s">
        <v>82</v>
      </c>
      <c r="B56" s="27" t="s">
        <v>81</v>
      </c>
      <c r="C56" s="28">
        <v>2020.0</v>
      </c>
      <c r="D56" s="28">
        <v>1716479.0</v>
      </c>
    </row>
    <row r="57">
      <c r="A57" s="27" t="s">
        <v>82</v>
      </c>
      <c r="B57" s="27" t="s">
        <v>81</v>
      </c>
      <c r="C57" s="28">
        <v>2021.0</v>
      </c>
      <c r="D57" s="28">
        <v>1758796.0</v>
      </c>
    </row>
    <row r="58">
      <c r="A58" s="27" t="s">
        <v>82</v>
      </c>
      <c r="B58" s="27" t="s">
        <v>81</v>
      </c>
      <c r="C58" s="28">
        <v>2022.0</v>
      </c>
      <c r="D58" s="28">
        <v>1803549.0</v>
      </c>
    </row>
    <row r="59">
      <c r="A59" s="27" t="s">
        <v>82</v>
      </c>
      <c r="B59" s="27" t="s">
        <v>81</v>
      </c>
      <c r="C59" s="28">
        <v>2023.0</v>
      </c>
      <c r="D59" s="28">
        <v>1847556.0</v>
      </c>
    </row>
    <row r="60">
      <c r="A60" s="27" t="s">
        <v>18</v>
      </c>
      <c r="B60" s="27" t="s">
        <v>83</v>
      </c>
      <c r="C60" s="28">
        <v>2016.0</v>
      </c>
      <c r="D60" s="28">
        <v>1.6268761E7</v>
      </c>
    </row>
    <row r="61">
      <c r="A61" s="27" t="s">
        <v>18</v>
      </c>
      <c r="B61" s="27" t="s">
        <v>83</v>
      </c>
      <c r="C61" s="28">
        <v>2017.0</v>
      </c>
      <c r="D61" s="28">
        <v>1.6567363E7</v>
      </c>
    </row>
    <row r="62">
      <c r="A62" s="27" t="s">
        <v>18</v>
      </c>
      <c r="B62" s="27" t="s">
        <v>83</v>
      </c>
      <c r="C62" s="28">
        <v>2018.0</v>
      </c>
      <c r="D62" s="28">
        <v>1.6845688E7</v>
      </c>
    </row>
    <row r="63">
      <c r="A63" s="27" t="s">
        <v>18</v>
      </c>
      <c r="B63" s="27" t="s">
        <v>83</v>
      </c>
      <c r="C63" s="28">
        <v>2019.0</v>
      </c>
      <c r="D63" s="28">
        <v>1.7103803E7</v>
      </c>
    </row>
    <row r="64">
      <c r="A64" s="27" t="s">
        <v>18</v>
      </c>
      <c r="B64" s="27" t="s">
        <v>83</v>
      </c>
      <c r="C64" s="28">
        <v>2020.0</v>
      </c>
      <c r="D64" s="28">
        <v>1.7357331E7</v>
      </c>
    </row>
    <row r="65">
      <c r="A65" s="27" t="s">
        <v>18</v>
      </c>
      <c r="B65" s="27" t="s">
        <v>83</v>
      </c>
      <c r="C65" s="28">
        <v>2021.0</v>
      </c>
      <c r="D65" s="28">
        <v>1.7598652E7</v>
      </c>
    </row>
    <row r="66">
      <c r="A66" s="27" t="s">
        <v>18</v>
      </c>
      <c r="B66" s="27" t="s">
        <v>83</v>
      </c>
      <c r="C66" s="28">
        <v>2022.0</v>
      </c>
      <c r="D66" s="28">
        <v>1.7847877E7</v>
      </c>
    </row>
    <row r="67">
      <c r="A67" s="27" t="s">
        <v>18</v>
      </c>
      <c r="B67" s="27" t="s">
        <v>83</v>
      </c>
      <c r="C67" s="28">
        <v>2023.0</v>
      </c>
      <c r="D67" s="28">
        <v>1.8124841E7</v>
      </c>
    </row>
    <row r="68">
      <c r="A68" s="27" t="s">
        <v>19</v>
      </c>
      <c r="B68" s="27" t="s">
        <v>84</v>
      </c>
      <c r="C68" s="28">
        <v>2016.0</v>
      </c>
      <c r="D68" s="28">
        <v>9412380.0</v>
      </c>
    </row>
    <row r="69">
      <c r="A69" s="27" t="s">
        <v>19</v>
      </c>
      <c r="B69" s="27" t="s">
        <v>84</v>
      </c>
      <c r="C69" s="28">
        <v>2017.0</v>
      </c>
      <c r="D69" s="28">
        <v>9588144.0</v>
      </c>
    </row>
    <row r="70">
      <c r="A70" s="27" t="s">
        <v>19</v>
      </c>
      <c r="B70" s="27" t="s">
        <v>84</v>
      </c>
      <c r="C70" s="28">
        <v>2018.0</v>
      </c>
      <c r="D70" s="28">
        <v>9765209.0</v>
      </c>
    </row>
    <row r="71">
      <c r="A71" s="27" t="s">
        <v>19</v>
      </c>
      <c r="B71" s="27" t="s">
        <v>84</v>
      </c>
      <c r="C71" s="28">
        <v>2019.0</v>
      </c>
      <c r="D71" s="28">
        <v>9943637.0</v>
      </c>
    </row>
    <row r="72">
      <c r="A72" s="27" t="s">
        <v>19</v>
      </c>
      <c r="B72" s="27" t="s">
        <v>84</v>
      </c>
      <c r="C72" s="28">
        <v>2020.0</v>
      </c>
      <c r="D72" s="28">
        <v>1.0119638E7</v>
      </c>
    </row>
    <row r="73">
      <c r="A73" s="27" t="s">
        <v>19</v>
      </c>
      <c r="B73" s="27" t="s">
        <v>84</v>
      </c>
      <c r="C73" s="28">
        <v>2021.0</v>
      </c>
      <c r="D73" s="28">
        <v>1.0289881E7</v>
      </c>
    </row>
    <row r="74">
      <c r="A74" s="27" t="s">
        <v>19</v>
      </c>
      <c r="B74" s="27" t="s">
        <v>84</v>
      </c>
      <c r="C74" s="28">
        <v>2022.0</v>
      </c>
      <c r="D74" s="28">
        <v>1.046388E7</v>
      </c>
    </row>
    <row r="75">
      <c r="A75" s="27" t="s">
        <v>19</v>
      </c>
      <c r="B75" s="27" t="s">
        <v>84</v>
      </c>
      <c r="C75" s="28">
        <v>2023.0</v>
      </c>
      <c r="D75" s="28">
        <v>1.0644853E7</v>
      </c>
    </row>
    <row r="76">
      <c r="A76" s="27" t="s">
        <v>20</v>
      </c>
      <c r="B76" s="27" t="s">
        <v>85</v>
      </c>
      <c r="C76" s="28">
        <v>2016.0</v>
      </c>
      <c r="D76" s="28">
        <v>1.22251344E8</v>
      </c>
    </row>
    <row r="77">
      <c r="A77" s="27" t="s">
        <v>20</v>
      </c>
      <c r="B77" s="27" t="s">
        <v>85</v>
      </c>
      <c r="C77" s="28">
        <v>2017.0</v>
      </c>
      <c r="D77" s="28">
        <v>1.23400052E8</v>
      </c>
    </row>
    <row r="78">
      <c r="A78" s="27" t="s">
        <v>20</v>
      </c>
      <c r="B78" s="27" t="s">
        <v>85</v>
      </c>
      <c r="C78" s="28">
        <v>2018.0</v>
      </c>
      <c r="D78" s="28">
        <v>1.24573713E8</v>
      </c>
    </row>
    <row r="79">
      <c r="A79" s="27" t="s">
        <v>20</v>
      </c>
      <c r="B79" s="27" t="s">
        <v>85</v>
      </c>
      <c r="C79" s="28">
        <v>2019.0</v>
      </c>
      <c r="D79" s="28">
        <v>1.25762978E8</v>
      </c>
    </row>
    <row r="80">
      <c r="A80" s="27" t="s">
        <v>20</v>
      </c>
      <c r="B80" s="27" t="s">
        <v>85</v>
      </c>
      <c r="C80" s="28">
        <v>2020.0</v>
      </c>
      <c r="D80" s="28">
        <v>1.26799053E8</v>
      </c>
    </row>
    <row r="81">
      <c r="A81" s="27" t="s">
        <v>20</v>
      </c>
      <c r="B81" s="27" t="s">
        <v>85</v>
      </c>
      <c r="C81" s="28">
        <v>2021.0</v>
      </c>
      <c r="D81" s="28">
        <v>1.27648151E8</v>
      </c>
    </row>
    <row r="82">
      <c r="A82" s="27" t="s">
        <v>20</v>
      </c>
      <c r="B82" s="27" t="s">
        <v>85</v>
      </c>
      <c r="C82" s="28">
        <v>2022.0</v>
      </c>
      <c r="D82" s="28">
        <v>1.28613116E8</v>
      </c>
    </row>
    <row r="83">
      <c r="A83" s="27" t="s">
        <v>20</v>
      </c>
      <c r="B83" s="27" t="s">
        <v>85</v>
      </c>
      <c r="C83" s="28">
        <v>2023.0</v>
      </c>
      <c r="D83" s="28">
        <v>1.29739761E8</v>
      </c>
    </row>
    <row r="84">
      <c r="A84" s="27" t="s">
        <v>21</v>
      </c>
      <c r="B84" s="27" t="s">
        <v>86</v>
      </c>
      <c r="C84" s="28">
        <v>2016.0</v>
      </c>
      <c r="D84" s="28">
        <v>6232664.0</v>
      </c>
    </row>
    <row r="85">
      <c r="A85" s="27" t="s">
        <v>21</v>
      </c>
      <c r="B85" s="27" t="s">
        <v>86</v>
      </c>
      <c r="C85" s="28">
        <v>2017.0</v>
      </c>
      <c r="D85" s="28">
        <v>6316235.0</v>
      </c>
    </row>
    <row r="86">
      <c r="A86" s="27" t="s">
        <v>21</v>
      </c>
      <c r="B86" s="27" t="s">
        <v>86</v>
      </c>
      <c r="C86" s="28">
        <v>2018.0</v>
      </c>
      <c r="D86" s="28">
        <v>6400074.0</v>
      </c>
    </row>
    <row r="87">
      <c r="A87" s="27" t="s">
        <v>21</v>
      </c>
      <c r="B87" s="27" t="s">
        <v>86</v>
      </c>
      <c r="C87" s="28">
        <v>2019.0</v>
      </c>
      <c r="D87" s="28">
        <v>6483660.0</v>
      </c>
    </row>
    <row r="88">
      <c r="A88" s="27" t="s">
        <v>21</v>
      </c>
      <c r="B88" s="27" t="s">
        <v>86</v>
      </c>
      <c r="C88" s="28">
        <v>2020.0</v>
      </c>
      <c r="D88" s="28">
        <v>6565267.0</v>
      </c>
    </row>
    <row r="89">
      <c r="A89" s="27" t="s">
        <v>21</v>
      </c>
      <c r="B89" s="27" t="s">
        <v>86</v>
      </c>
      <c r="C89" s="28">
        <v>2021.0</v>
      </c>
      <c r="D89" s="28">
        <v>6644745.0</v>
      </c>
    </row>
    <row r="90">
      <c r="A90" s="27" t="s">
        <v>21</v>
      </c>
      <c r="B90" s="27" t="s">
        <v>86</v>
      </c>
      <c r="C90" s="28">
        <v>2022.0</v>
      </c>
      <c r="D90" s="28">
        <v>6730662.0</v>
      </c>
    </row>
    <row r="91">
      <c r="A91" s="27" t="s">
        <v>21</v>
      </c>
      <c r="B91" s="27" t="s">
        <v>86</v>
      </c>
      <c r="C91" s="28">
        <v>2023.0</v>
      </c>
      <c r="D91" s="28">
        <v>6823619.0</v>
      </c>
    </row>
    <row r="92">
      <c r="A92" s="27" t="s">
        <v>22</v>
      </c>
      <c r="B92" s="27" t="s">
        <v>87</v>
      </c>
      <c r="C92" s="28">
        <v>2016.0</v>
      </c>
      <c r="D92" s="28">
        <v>4029085.0</v>
      </c>
    </row>
    <row r="93">
      <c r="A93" s="27" t="s">
        <v>22</v>
      </c>
      <c r="B93" s="27" t="s">
        <v>87</v>
      </c>
      <c r="C93" s="28">
        <v>2017.0</v>
      </c>
      <c r="D93" s="28">
        <v>4098704.0</v>
      </c>
    </row>
    <row r="94">
      <c r="A94" s="27" t="s">
        <v>22</v>
      </c>
      <c r="B94" s="27" t="s">
        <v>87</v>
      </c>
      <c r="C94" s="28">
        <v>2018.0</v>
      </c>
      <c r="D94" s="28">
        <v>4167860.0</v>
      </c>
    </row>
    <row r="95">
      <c r="A95" s="27" t="s">
        <v>22</v>
      </c>
      <c r="B95" s="27" t="s">
        <v>87</v>
      </c>
      <c r="C95" s="28">
        <v>2019.0</v>
      </c>
      <c r="D95" s="28">
        <v>4234698.0</v>
      </c>
    </row>
    <row r="96">
      <c r="A96" s="27" t="s">
        <v>22</v>
      </c>
      <c r="B96" s="27" t="s">
        <v>87</v>
      </c>
      <c r="C96" s="28">
        <v>2020.0</v>
      </c>
      <c r="D96" s="28">
        <v>4293258.0</v>
      </c>
    </row>
    <row r="97">
      <c r="A97" s="27" t="s">
        <v>22</v>
      </c>
      <c r="B97" s="27" t="s">
        <v>87</v>
      </c>
      <c r="C97" s="28">
        <v>2021.0</v>
      </c>
      <c r="D97" s="28">
        <v>4345410.0</v>
      </c>
    </row>
    <row r="98">
      <c r="A98" s="27" t="s">
        <v>22</v>
      </c>
      <c r="B98" s="27" t="s">
        <v>87</v>
      </c>
      <c r="C98" s="28">
        <v>2022.0</v>
      </c>
      <c r="D98" s="28">
        <v>4400775.0</v>
      </c>
    </row>
    <row r="99">
      <c r="A99" s="27" t="s">
        <v>22</v>
      </c>
      <c r="B99" s="27" t="s">
        <v>87</v>
      </c>
      <c r="C99" s="28">
        <v>2023.0</v>
      </c>
      <c r="D99" s="28">
        <v>4458758.0</v>
      </c>
    </row>
    <row r="100">
      <c r="A100" s="27" t="s">
        <v>89</v>
      </c>
      <c r="B100" s="27" t="s">
        <v>88</v>
      </c>
      <c r="C100" s="28">
        <v>2016.0</v>
      </c>
      <c r="D100" s="28">
        <v>3.0866497E7</v>
      </c>
    </row>
    <row r="101">
      <c r="A101" s="27" t="s">
        <v>89</v>
      </c>
      <c r="B101" s="27" t="s">
        <v>88</v>
      </c>
      <c r="C101" s="28">
        <v>2017.0</v>
      </c>
      <c r="D101" s="28">
        <v>3.1324639E7</v>
      </c>
    </row>
    <row r="102">
      <c r="A102" s="27" t="s">
        <v>89</v>
      </c>
      <c r="B102" s="27" t="s">
        <v>88</v>
      </c>
      <c r="C102" s="28">
        <v>2018.0</v>
      </c>
      <c r="D102" s="28">
        <v>3.189759E7</v>
      </c>
    </row>
    <row r="103">
      <c r="A103" s="27" t="s">
        <v>89</v>
      </c>
      <c r="B103" s="27" t="s">
        <v>88</v>
      </c>
      <c r="C103" s="28">
        <v>2019.0</v>
      </c>
      <c r="D103" s="28">
        <v>3.2449302E7</v>
      </c>
    </row>
    <row r="104">
      <c r="A104" s="27" t="s">
        <v>89</v>
      </c>
      <c r="B104" s="27" t="s">
        <v>88</v>
      </c>
      <c r="C104" s="28">
        <v>2020.0</v>
      </c>
      <c r="D104" s="28">
        <v>3.2838577E7</v>
      </c>
    </row>
    <row r="105">
      <c r="A105" s="27" t="s">
        <v>89</v>
      </c>
      <c r="B105" s="27" t="s">
        <v>88</v>
      </c>
      <c r="C105" s="28">
        <v>2021.0</v>
      </c>
      <c r="D105" s="28">
        <v>3.3155883E7</v>
      </c>
    </row>
    <row r="106">
      <c r="A106" s="27" t="s">
        <v>89</v>
      </c>
      <c r="B106" s="27" t="s">
        <v>88</v>
      </c>
      <c r="C106" s="28">
        <v>2022.0</v>
      </c>
      <c r="D106" s="28">
        <v>3.3475436E7</v>
      </c>
    </row>
    <row r="107">
      <c r="A107" s="27" t="s">
        <v>89</v>
      </c>
      <c r="B107" s="27" t="s">
        <v>88</v>
      </c>
      <c r="C107" s="28">
        <v>2023.0</v>
      </c>
      <c r="D107" s="28">
        <v>3.3845616E7</v>
      </c>
    </row>
    <row r="108">
      <c r="A108" s="27" t="s">
        <v>92</v>
      </c>
      <c r="B108" s="27" t="s">
        <v>90</v>
      </c>
      <c r="C108" s="28">
        <v>2017.0</v>
      </c>
      <c r="D108" s="28">
        <v>3.32204657E8</v>
      </c>
    </row>
    <row r="109">
      <c r="A109" s="27" t="s">
        <v>92</v>
      </c>
      <c r="B109" s="27" t="s">
        <v>90</v>
      </c>
      <c r="C109" s="28">
        <v>2018.0</v>
      </c>
      <c r="D109" s="28">
        <v>3.35056492E8</v>
      </c>
    </row>
    <row r="110">
      <c r="A110" s="27" t="s">
        <v>92</v>
      </c>
      <c r="B110" s="27" t="s">
        <v>90</v>
      </c>
      <c r="C110" s="28">
        <v>2019.0</v>
      </c>
      <c r="D110" s="28">
        <v>3.37790069E8</v>
      </c>
    </row>
    <row r="111">
      <c r="A111" s="27" t="s">
        <v>92</v>
      </c>
      <c r="B111" s="27" t="s">
        <v>90</v>
      </c>
      <c r="C111" s="28">
        <v>2020.0</v>
      </c>
      <c r="D111" s="28">
        <v>3.39436156E8</v>
      </c>
    </row>
    <row r="112">
      <c r="A112" s="27" t="s">
        <v>92</v>
      </c>
      <c r="B112" s="27" t="s">
        <v>90</v>
      </c>
      <c r="C112" s="28">
        <v>2021.0</v>
      </c>
      <c r="D112" s="28">
        <v>3.40161438E8</v>
      </c>
    </row>
    <row r="113">
      <c r="A113" s="27" t="s">
        <v>92</v>
      </c>
      <c r="B113" s="27" t="s">
        <v>90</v>
      </c>
      <c r="C113" s="28">
        <v>2022.0</v>
      </c>
      <c r="D113" s="28">
        <v>3.41534041E8</v>
      </c>
    </row>
    <row r="114">
      <c r="A114" s="27" t="s">
        <v>92</v>
      </c>
      <c r="B114" s="27" t="s">
        <v>90</v>
      </c>
      <c r="C114" s="28">
        <v>2023.0</v>
      </c>
      <c r="D114" s="28">
        <v>3.4347733E8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4" max="4" width="19.13"/>
    <col customWidth="1" min="5" max="5" width="15.5"/>
  </cols>
  <sheetData>
    <row r="1">
      <c r="A1" s="1" t="s">
        <v>0</v>
      </c>
      <c r="B1" s="2" t="s">
        <v>1</v>
      </c>
      <c r="C1" s="2" t="s">
        <v>2</v>
      </c>
      <c r="D1" s="2" t="s">
        <v>3</v>
      </c>
      <c r="E1" s="2" t="s">
        <v>93</v>
      </c>
      <c r="F1" s="2" t="s">
        <v>94</v>
      </c>
      <c r="G1" s="2" t="s">
        <v>95</v>
      </c>
      <c r="H1" s="2" t="s">
        <v>96</v>
      </c>
      <c r="I1" s="3"/>
      <c r="J1" s="3"/>
      <c r="K1" s="3"/>
      <c r="L1" s="3"/>
      <c r="M1" s="3"/>
      <c r="N1" s="3"/>
      <c r="O1" s="3"/>
      <c r="P1" s="3"/>
      <c r="Q1" s="3"/>
      <c r="R1" s="3"/>
      <c r="S1" s="3"/>
      <c r="T1" s="3"/>
      <c r="U1" s="3"/>
      <c r="V1" s="3"/>
      <c r="W1" s="3"/>
      <c r="X1" s="3"/>
      <c r="Y1" s="3"/>
      <c r="Z1" s="3"/>
      <c r="AA1" s="3"/>
      <c r="AB1" s="3"/>
    </row>
    <row r="2">
      <c r="A2" s="4" t="s">
        <v>4</v>
      </c>
      <c r="B2" s="5" t="s">
        <v>5</v>
      </c>
      <c r="C2" s="6">
        <v>3.3845616E7</v>
      </c>
      <c r="D2" s="7">
        <v>73332.0</v>
      </c>
      <c r="E2" s="7">
        <v>73332.0</v>
      </c>
      <c r="F2" s="30"/>
      <c r="H2" s="13"/>
    </row>
    <row r="3">
      <c r="B3" s="5" t="s">
        <v>6</v>
      </c>
      <c r="C3" s="6">
        <v>2023.0</v>
      </c>
      <c r="D3" s="8">
        <v>2025.0</v>
      </c>
      <c r="E3" s="8">
        <v>2025.0</v>
      </c>
      <c r="F3" s="8"/>
    </row>
    <row r="4">
      <c r="A4" s="4" t="s">
        <v>7</v>
      </c>
      <c r="B4" s="5" t="s">
        <v>5</v>
      </c>
      <c r="C4" s="6">
        <v>4.3900312E7</v>
      </c>
      <c r="F4" s="9"/>
      <c r="H4" s="12">
        <v>182189.0</v>
      </c>
    </row>
    <row r="5">
      <c r="B5" s="5" t="s">
        <v>6</v>
      </c>
      <c r="C5" s="6">
        <v>2023.0</v>
      </c>
      <c r="F5" s="31"/>
      <c r="H5" s="10">
        <v>2025.0</v>
      </c>
    </row>
    <row r="6">
      <c r="A6" s="4" t="s">
        <v>8</v>
      </c>
      <c r="B6" s="5" t="s">
        <v>5</v>
      </c>
      <c r="C6" s="11">
        <v>1.2244161E7</v>
      </c>
      <c r="F6" s="9"/>
    </row>
    <row r="7">
      <c r="B7" s="5" t="s">
        <v>6</v>
      </c>
      <c r="C7" s="11"/>
      <c r="F7" s="9"/>
    </row>
    <row r="8">
      <c r="A8" s="4" t="s">
        <v>9</v>
      </c>
      <c r="B8" s="5" t="s">
        <v>5</v>
      </c>
      <c r="C8" s="6">
        <v>1.9658833E7</v>
      </c>
      <c r="D8" s="12">
        <v>79467.0</v>
      </c>
      <c r="E8" s="12">
        <v>79467.0</v>
      </c>
      <c r="F8" s="32">
        <v>40557.0</v>
      </c>
    </row>
    <row r="9">
      <c r="B9" s="5" t="s">
        <v>6</v>
      </c>
      <c r="C9" s="6">
        <v>2023.0</v>
      </c>
      <c r="D9" s="13">
        <v>2023.0</v>
      </c>
      <c r="E9" s="13">
        <v>2023.0</v>
      </c>
      <c r="F9" s="31">
        <v>2014.0</v>
      </c>
    </row>
    <row r="10">
      <c r="A10" s="4" t="s">
        <v>10</v>
      </c>
      <c r="B10" s="5" t="s">
        <v>5</v>
      </c>
      <c r="C10" s="6">
        <v>5.2321152E7</v>
      </c>
      <c r="D10" s="12">
        <v>67996.0</v>
      </c>
      <c r="E10" s="12">
        <v>81000.0</v>
      </c>
      <c r="F10" s="9"/>
    </row>
    <row r="11">
      <c r="B11" s="5" t="s">
        <v>6</v>
      </c>
      <c r="C11" s="6">
        <v>2023.0</v>
      </c>
      <c r="D11" s="10">
        <v>2022.0</v>
      </c>
      <c r="E11" s="10">
        <v>2022.0</v>
      </c>
      <c r="F11" s="9"/>
    </row>
    <row r="12">
      <c r="A12" s="4" t="s">
        <v>11</v>
      </c>
      <c r="B12" s="5" t="s">
        <v>5</v>
      </c>
      <c r="C12" s="6">
        <v>5105526.0</v>
      </c>
      <c r="D12" s="14">
        <v>10104.0</v>
      </c>
      <c r="E12" s="14">
        <v>13217.0</v>
      </c>
      <c r="F12" s="9"/>
    </row>
    <row r="13">
      <c r="B13" s="5" t="s">
        <v>6</v>
      </c>
      <c r="C13" s="6">
        <v>2023.0</v>
      </c>
      <c r="D13" s="10">
        <v>2026.0</v>
      </c>
      <c r="E13" s="10">
        <v>2026.0</v>
      </c>
      <c r="F13" s="31"/>
    </row>
    <row r="14">
      <c r="A14" s="4" t="s">
        <v>12</v>
      </c>
      <c r="B14" s="5" t="s">
        <v>5</v>
      </c>
      <c r="C14" s="6">
        <v>1.1019932E7</v>
      </c>
      <c r="F14" s="9"/>
    </row>
    <row r="15">
      <c r="B15" s="5" t="s">
        <v>6</v>
      </c>
      <c r="C15" s="6">
        <v>2023.0</v>
      </c>
      <c r="F15" s="31"/>
    </row>
    <row r="16">
      <c r="A16" s="4" t="s">
        <v>13</v>
      </c>
      <c r="B16" s="5" t="s">
        <v>5</v>
      </c>
      <c r="C16" s="6">
        <v>1.1331269E7</v>
      </c>
      <c r="D16" s="12">
        <v>14438.0</v>
      </c>
      <c r="E16" s="12">
        <v>26616.0</v>
      </c>
      <c r="F16" s="9"/>
    </row>
    <row r="17">
      <c r="B17" s="5" t="s">
        <v>6</v>
      </c>
      <c r="C17" s="6">
        <v>2023.0</v>
      </c>
      <c r="D17" s="10">
        <v>2026.0</v>
      </c>
      <c r="E17" s="10">
        <v>2026.0</v>
      </c>
      <c r="F17" s="31"/>
    </row>
    <row r="18">
      <c r="A18" s="4" t="s">
        <v>14</v>
      </c>
      <c r="B18" s="5" t="s">
        <v>5</v>
      </c>
      <c r="C18" s="6">
        <v>1.7980079E7</v>
      </c>
      <c r="F18" s="9"/>
    </row>
    <row r="19">
      <c r="B19" s="5" t="s">
        <v>6</v>
      </c>
      <c r="C19" s="6">
        <v>2023.0</v>
      </c>
      <c r="F19" s="31"/>
    </row>
    <row r="20">
      <c r="A20" s="4" t="s">
        <v>15</v>
      </c>
      <c r="B20" s="5" t="s">
        <v>5</v>
      </c>
      <c r="C20" s="6">
        <v>6309629.0</v>
      </c>
      <c r="F20" s="9"/>
    </row>
    <row r="21">
      <c r="B21" s="5" t="s">
        <v>6</v>
      </c>
      <c r="C21" s="6">
        <v>2023.0</v>
      </c>
      <c r="F21" s="31"/>
    </row>
    <row r="22">
      <c r="A22" s="4" t="s">
        <v>16</v>
      </c>
      <c r="B22" s="5" t="s">
        <v>5</v>
      </c>
      <c r="C22" s="6">
        <v>4.7911583E7</v>
      </c>
      <c r="D22" s="15">
        <v>38427.0</v>
      </c>
      <c r="E22" s="15">
        <v>38427.0</v>
      </c>
      <c r="F22" s="9"/>
    </row>
    <row r="23">
      <c r="B23" s="5" t="s">
        <v>6</v>
      </c>
      <c r="C23" s="6">
        <v>2023.0</v>
      </c>
      <c r="D23" s="10">
        <v>2023.0</v>
      </c>
      <c r="E23" s="10">
        <v>2023.0</v>
      </c>
      <c r="F23" s="9"/>
    </row>
    <row r="24">
      <c r="A24" s="4" t="s">
        <v>17</v>
      </c>
      <c r="B24" s="5" t="s">
        <v>5</v>
      </c>
      <c r="C24" s="6">
        <v>1847556.0</v>
      </c>
      <c r="F24" s="9"/>
    </row>
    <row r="25">
      <c r="B25" s="5" t="s">
        <v>6</v>
      </c>
      <c r="C25" s="6">
        <v>2023.0</v>
      </c>
      <c r="F25" s="31"/>
    </row>
    <row r="26">
      <c r="A26" s="4" t="s">
        <v>18</v>
      </c>
      <c r="B26" s="5" t="s">
        <v>5</v>
      </c>
      <c r="C26" s="6">
        <v>1.8124841E7</v>
      </c>
      <c r="D26" s="12">
        <v>9730.0</v>
      </c>
      <c r="E26" s="12">
        <v>9730.0</v>
      </c>
      <c r="F26" s="9"/>
    </row>
    <row r="27">
      <c r="B27" s="5" t="s">
        <v>6</v>
      </c>
      <c r="C27" s="6">
        <v>2023.0</v>
      </c>
      <c r="D27" s="10">
        <v>2025.0</v>
      </c>
      <c r="E27" s="10">
        <v>2025.0</v>
      </c>
      <c r="F27" s="9"/>
    </row>
    <row r="28">
      <c r="A28" s="4" t="s">
        <v>19</v>
      </c>
      <c r="B28" s="5" t="s">
        <v>5</v>
      </c>
      <c r="C28" s="6">
        <v>1.0644853E7</v>
      </c>
      <c r="F28" s="9"/>
    </row>
    <row r="29">
      <c r="B29" s="5" t="s">
        <v>6</v>
      </c>
      <c r="C29" s="6">
        <v>2023.0</v>
      </c>
      <c r="F29" s="31"/>
    </row>
    <row r="30">
      <c r="A30" s="4" t="s">
        <v>20</v>
      </c>
      <c r="B30" s="5" t="s">
        <v>5</v>
      </c>
      <c r="C30" s="6">
        <v>1.29739761E8</v>
      </c>
      <c r="D30" s="12">
        <v>324272.0</v>
      </c>
      <c r="E30" s="12">
        <v>324272.0</v>
      </c>
      <c r="F30" s="9"/>
    </row>
    <row r="31">
      <c r="B31" s="5" t="s">
        <v>6</v>
      </c>
      <c r="C31" s="6">
        <v>2023.0</v>
      </c>
      <c r="D31" s="10">
        <v>2025.0</v>
      </c>
      <c r="E31" s="10">
        <v>2025.0</v>
      </c>
      <c r="F31" s="31"/>
    </row>
    <row r="32">
      <c r="A32" s="4" t="s">
        <v>21</v>
      </c>
      <c r="B32" s="5" t="s">
        <v>5</v>
      </c>
      <c r="C32" s="6">
        <v>6823619.0</v>
      </c>
      <c r="F32" s="9"/>
    </row>
    <row r="33">
      <c r="B33" s="5" t="s">
        <v>6</v>
      </c>
      <c r="C33" s="6">
        <v>2023.0</v>
      </c>
      <c r="F33" s="31"/>
    </row>
    <row r="34">
      <c r="A34" s="4" t="s">
        <v>22</v>
      </c>
      <c r="B34" s="5" t="s">
        <v>5</v>
      </c>
      <c r="C34" s="6">
        <v>4458758.0</v>
      </c>
      <c r="F34" s="9"/>
    </row>
    <row r="35">
      <c r="B35" s="5" t="s">
        <v>6</v>
      </c>
      <c r="C35" s="6">
        <v>2023.0</v>
      </c>
      <c r="F35" s="31"/>
    </row>
    <row r="36">
      <c r="A36" s="4" t="s">
        <v>23</v>
      </c>
      <c r="B36" s="5" t="s">
        <v>5</v>
      </c>
      <c r="C36" s="6">
        <v>6844150.0</v>
      </c>
      <c r="E36" s="16"/>
      <c r="F36" s="9"/>
    </row>
    <row r="37">
      <c r="B37" s="5" t="s">
        <v>6</v>
      </c>
      <c r="C37" s="6">
        <v>2023.0</v>
      </c>
      <c r="E37" s="16"/>
      <c r="F37" s="9"/>
    </row>
    <row r="38">
      <c r="A38" s="4" t="s">
        <v>24</v>
      </c>
      <c r="B38" s="5" t="s">
        <v>5</v>
      </c>
      <c r="C38" s="6">
        <v>3242022.0</v>
      </c>
      <c r="D38" s="17">
        <v>3916.0</v>
      </c>
      <c r="E38" s="17">
        <v>3916.0</v>
      </c>
      <c r="F38" s="9"/>
    </row>
    <row r="39">
      <c r="B39" s="5" t="s">
        <v>6</v>
      </c>
      <c r="C39" s="6">
        <v>2023.0</v>
      </c>
      <c r="D39" s="6">
        <v>2024.0</v>
      </c>
      <c r="E39" s="6">
        <v>2024.0</v>
      </c>
      <c r="F39" s="9"/>
    </row>
    <row r="40">
      <c r="A40" s="4" t="s">
        <v>25</v>
      </c>
      <c r="B40" s="5" t="s">
        <v>5</v>
      </c>
      <c r="C40" s="6">
        <v>3388083.0</v>
      </c>
      <c r="D40" s="12">
        <v>7543.0</v>
      </c>
      <c r="E40" s="12">
        <v>7543.0</v>
      </c>
      <c r="F40" s="9"/>
    </row>
    <row r="41">
      <c r="B41" s="5" t="s">
        <v>6</v>
      </c>
      <c r="C41" s="6">
        <v>2023.0</v>
      </c>
      <c r="D41" s="10">
        <v>2014.0</v>
      </c>
      <c r="E41" s="10">
        <v>2014.0</v>
      </c>
      <c r="F41" s="9"/>
    </row>
    <row r="42">
      <c r="A42" s="4" t="s">
        <v>26</v>
      </c>
      <c r="B42" s="5" t="s">
        <v>5</v>
      </c>
      <c r="C42" s="6">
        <v>2.8300861E7</v>
      </c>
      <c r="F42" s="9"/>
    </row>
    <row r="43">
      <c r="B43" s="5" t="s">
        <v>6</v>
      </c>
      <c r="C43" s="6">
        <v>2023.0</v>
      </c>
      <c r="F43" s="9"/>
    </row>
    <row r="44">
      <c r="A44" s="4" t="s">
        <v>27</v>
      </c>
      <c r="B44" s="5" t="s">
        <v>5</v>
      </c>
      <c r="C44" s="6">
        <v>3.4347733E8</v>
      </c>
      <c r="D44" s="17">
        <v>5000.0</v>
      </c>
      <c r="E44" s="17">
        <v>5000.0</v>
      </c>
      <c r="F44" s="9"/>
    </row>
    <row r="45">
      <c r="B45" s="5" t="s">
        <v>6</v>
      </c>
      <c r="C45" s="6">
        <v>2023.0</v>
      </c>
    </row>
    <row r="52">
      <c r="F52" s="10"/>
    </row>
  </sheetData>
  <mergeCells count="22">
    <mergeCell ref="A2:A3"/>
    <mergeCell ref="A4:A5"/>
    <mergeCell ref="A6:A7"/>
    <mergeCell ref="A8:A9"/>
    <mergeCell ref="A10:A11"/>
    <mergeCell ref="A12:A13"/>
    <mergeCell ref="A14:A15"/>
    <mergeCell ref="A30:A31"/>
    <mergeCell ref="A32:A33"/>
    <mergeCell ref="A34:A35"/>
    <mergeCell ref="A36:A37"/>
    <mergeCell ref="A38:A39"/>
    <mergeCell ref="A40:A41"/>
    <mergeCell ref="A42:A43"/>
    <mergeCell ref="A44:A45"/>
    <mergeCell ref="A16:A17"/>
    <mergeCell ref="A18:A19"/>
    <mergeCell ref="A20:A21"/>
    <mergeCell ref="A22:A23"/>
    <mergeCell ref="A24:A25"/>
    <mergeCell ref="A26:A27"/>
    <mergeCell ref="A28:A29"/>
  </mergeCells>
  <hyperlinks>
    <hyperlink r:id="rId1" ref="D2"/>
    <hyperlink r:id="rId2" ref="E2"/>
    <hyperlink r:id="rId3" ref="H4"/>
    <hyperlink r:id="rId4" ref="D8"/>
    <hyperlink r:id="rId5" ref="E8"/>
    <hyperlink r:id="rId6" ref="F8"/>
    <hyperlink r:id="rId7" ref="D10"/>
    <hyperlink r:id="rId8" ref="E10"/>
    <hyperlink r:id="rId9" ref="D12"/>
    <hyperlink r:id="rId10" ref="E12"/>
    <hyperlink r:id="rId11" ref="D16"/>
    <hyperlink r:id="rId12" ref="E16"/>
    <hyperlink r:id="rId13" ref="D22"/>
    <hyperlink r:id="rId14" ref="E22"/>
    <hyperlink r:id="rId15" ref="D26"/>
    <hyperlink r:id="rId16" ref="E26"/>
    <hyperlink r:id="rId17" ref="D30"/>
    <hyperlink r:id="rId18" ref="E30"/>
    <hyperlink r:id="rId19" ref="D38"/>
    <hyperlink r:id="rId20" ref="E38"/>
    <hyperlink r:id="rId21" ref="D40"/>
    <hyperlink r:id="rId22" ref="E40"/>
    <hyperlink r:id="rId23" ref="D44"/>
    <hyperlink r:id="rId24" ref="E44"/>
  </hyperlinks>
  <drawing r:id="rId25"/>
</worksheet>
</file>